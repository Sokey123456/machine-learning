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6.xml" ContentType="application/vnd.openxmlformats-officedocument.drawing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8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9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0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misa\OneDrive\ドキュメント\業務(参考書)\Implied vol\"/>
    </mc:Choice>
  </mc:AlternateContent>
  <xr:revisionPtr revIDLastSave="0" documentId="13_ncr:1_{C1764CBF-214F-42A2-85D2-2229AC173952}" xr6:coauthVersionLast="47" xr6:coauthVersionMax="47" xr10:uidLastSave="{00000000-0000-0000-0000-000000000000}"/>
  <bookViews>
    <workbookView xWindow="38280" yWindow="-120" windowWidth="29040" windowHeight="15720" firstSheet="3" activeTab="8" xr2:uid="{2456FC35-59CD-43DC-BAC6-B87BD6707E66}"/>
  </bookViews>
  <sheets>
    <sheet name="BS model" sheetId="5" r:id="rId1"/>
    <sheet name="各パラメータごとの形状" sheetId="1" r:id="rId2"/>
    <sheet name="IV_Smile" sheetId="4" r:id="rId3"/>
    <sheet name="Greeks" sheetId="14" r:id="rId4"/>
    <sheet name="Black-76 model" sheetId="6" r:id="rId5"/>
    <sheet name="各パラメータごとの形状_B76" sheetId="7" r:id="rId6"/>
    <sheet name="Greeks_B76" sheetId="13" r:id="rId7"/>
    <sheet name="Bachelier model" sheetId="12" r:id="rId8"/>
    <sheet name="各パラメータごとの形状_Bachelier" sheetId="15" r:id="rId9"/>
  </sheets>
  <functionGroups builtInGroupCount="19"/>
  <definedNames>
    <definedName name="_xlnm._FilterDatabase" localSheetId="1" hidden="1">各パラメータごとの形状!$B$2:$C$8</definedName>
    <definedName name="_xleta.T" hidden="1" xlm="1">#NAME?</definedName>
    <definedName name="_xleta.TIME" hidden="1" xlm="1">#NAME?</definedName>
    <definedName name="a" localSheetId="3">Greeks!$B$17</definedName>
    <definedName name="a" localSheetId="6">Greeks_B76!$B$17</definedName>
    <definedName name="a">#REF!</definedName>
    <definedName name="DeltaCall" localSheetId="3">Greeks!$M$12:$M$112</definedName>
    <definedName name="DeltaCall" localSheetId="6">Greeks_B76!$M$12:$M$112</definedName>
    <definedName name="DeltaCall">#REF!</definedName>
    <definedName name="DeltaPut" localSheetId="3">Greeks!$R$12:$R$112</definedName>
    <definedName name="DeltaPut" localSheetId="6">Greeks_B76!$R$12:$R$112</definedName>
    <definedName name="DeltaPut">#REF!</definedName>
    <definedName name="diff" localSheetId="2">IV_Smile!$I$3</definedName>
    <definedName name="diff">各パラメータごとの形状!$K$3</definedName>
    <definedName name="Foward" localSheetId="3">Greeks!$C$13</definedName>
    <definedName name="Foward">Greeks_B76!$C$13</definedName>
    <definedName name="Gamma" localSheetId="3">Greeks!$S$12:$S$112</definedName>
    <definedName name="Gamma" localSheetId="6">Greeks_B76!$S$12:$S$112</definedName>
    <definedName name="Gamma">#REF!</definedName>
    <definedName name="MarketCallOptioin" localSheetId="2">IV_Smile!$F$3</definedName>
    <definedName name="MarketCallOptioin">各パラメータごとの形状!$H$3</definedName>
    <definedName name="MarketCallOption">IV_Smile!$F$3</definedName>
    <definedName name="MarketPutOptioin">IV_Smile!$F$4</definedName>
    <definedName name="MarketPutOption">IV_Smile!$F$4</definedName>
    <definedName name="rate" localSheetId="2">IV_Smile!$C$6</definedName>
    <definedName name="rate">各パラメータごとの形状!$C$6</definedName>
    <definedName name="rate2" localSheetId="3">Greeks!$C$15</definedName>
    <definedName name="rate2" localSheetId="6">Greeks_B76!$C$15</definedName>
    <definedName name="rate2">#REF!</definedName>
    <definedName name="RhoCall" localSheetId="3">Greeks!$AE$12:$AE$112</definedName>
    <definedName name="RhoCall" localSheetId="6">Greeks_B76!$AE$12:$AE$112</definedName>
    <definedName name="RhoCall">#REF!</definedName>
    <definedName name="RhoPut" localSheetId="3">Greeks!$AH$12:$AH$112</definedName>
    <definedName name="RhoPut" localSheetId="6">Greeks_B76!$AH$12:$AH$112</definedName>
    <definedName name="RhoPut">#REF!</definedName>
    <definedName name="sigma" localSheetId="2">IV_Smile!$C$7</definedName>
    <definedName name="sigma">各パラメータごとの形状!$C$7</definedName>
    <definedName name="sigma2" localSheetId="3">Greeks!$C$16</definedName>
    <definedName name="sigma2" localSheetId="6">Greeks_B76!$C$16</definedName>
    <definedName name="sigma2">#REF!</definedName>
    <definedName name="Stock" localSheetId="3">Greeks!$C$13</definedName>
    <definedName name="Stock" localSheetId="6">Greeks_B76!$C$13</definedName>
    <definedName name="Stock">#REF!</definedName>
    <definedName name="StockPrice" localSheetId="2">IV_Smile!$C$4</definedName>
    <definedName name="StockPrice">各パラメータごとの形状!$C$4</definedName>
    <definedName name="Strike" localSheetId="3">Greeks!$C$14</definedName>
    <definedName name="Strike" localSheetId="6">Greeks_B76!$C$14</definedName>
    <definedName name="Strike">#REF!</definedName>
    <definedName name="StrikePrice" localSheetId="2">IV_Smile!$C$5</definedName>
    <definedName name="StrikePrice">各パラメータごとの形状!$C$5</definedName>
    <definedName name="strikerow" localSheetId="3">Greeks!$F$12:$F$112</definedName>
    <definedName name="strikerow" localSheetId="6">Greeks_B76!$F$12:$F$112</definedName>
    <definedName name="strikerow">#REF!</definedName>
    <definedName name="Style" localSheetId="2">IV_Smile!$C$3</definedName>
    <definedName name="Style">各パラメータごとの形状!$C$3</definedName>
    <definedName name="ThetaCall" localSheetId="3">Greeks!$Y$12:$Y$112</definedName>
    <definedName name="ThetaCall" localSheetId="6">Greeks_B76!$Y$12:$Y$112</definedName>
    <definedName name="ThetaCall">#REF!</definedName>
    <definedName name="ThetaPut" localSheetId="3">Greeks!$AB$12:$AB$112</definedName>
    <definedName name="ThetaPut" localSheetId="6">Greeks_B76!$AB$12:$AB$112</definedName>
    <definedName name="ThetaPut">#REF!</definedName>
    <definedName name="TimeofExpiration" localSheetId="2">IV_Smile!$C$8</definedName>
    <definedName name="TimeofExpiration">各パラメータごとの形状!$C$8</definedName>
    <definedName name="TimeofExpiration2" localSheetId="3">Greeks!$C$17</definedName>
    <definedName name="TimeofExpiration2" localSheetId="6">Greeks_B76!$C$17</definedName>
    <definedName name="TimeofExpiration2">#REF!</definedName>
    <definedName name="Vega" localSheetId="3">Greeks!$V$12:$V$112</definedName>
    <definedName name="Vega" localSheetId="6">Greeks_B76!$V$12:$V$112</definedName>
    <definedName name="Veg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4" l="1" a="1"/>
  <c r="H28" i="15" a="1"/>
  <c r="H27" i="15" a="1"/>
  <c r="H26" i="15" a="1"/>
  <c r="H25" i="15" a="1"/>
  <c r="H24" i="15" a="1"/>
  <c r="H23" i="15" a="1"/>
  <c r="H22" i="15" a="1"/>
  <c r="H18" i="15" a="1"/>
  <c r="H17" i="15" a="1"/>
  <c r="H16" i="15" a="1"/>
  <c r="H15" i="15" a="1"/>
  <c r="H14" i="15" a="1"/>
  <c r="H13" i="15" a="1"/>
  <c r="H21" i="15" a="1"/>
  <c r="H20" i="15" a="1"/>
  <c r="H19" i="15" a="1"/>
  <c r="H47" i="15" a="1"/>
  <c r="H53" i="15" a="1"/>
  <c r="H59" i="15" a="1"/>
  <c r="H65" i="15" a="1"/>
  <c r="H54" i="15" a="1"/>
  <c r="H60" i="15" a="1"/>
  <c r="H49" i="15" a="1"/>
  <c r="H55" i="15" a="1"/>
  <c r="H61" i="15" a="1"/>
  <c r="H56" i="15" a="1"/>
  <c r="H63" i="15" a="1"/>
  <c r="H66" i="15" a="1"/>
  <c r="H50" i="15" a="1"/>
  <c r="H62" i="15" a="1"/>
  <c r="H57" i="15" a="1"/>
  <c r="H51" i="15" a="1"/>
  <c r="H52" i="15" a="1"/>
  <c r="H58" i="15" a="1"/>
  <c r="H64" i="15" a="1"/>
  <c r="H48" i="15" a="1"/>
  <c r="H46" i="15" a="1"/>
  <c r="D62" i="15" a="1"/>
  <c r="D63" i="15" a="1"/>
  <c r="D64" i="15" a="1"/>
  <c r="D65" i="15" a="1"/>
  <c r="D66" i="15" a="1"/>
  <c r="D47" i="15" a="1"/>
  <c r="D48" i="15" a="1"/>
  <c r="D54" i="15" a="1"/>
  <c r="D60" i="15" a="1"/>
  <c r="D57" i="15" a="1"/>
  <c r="D59" i="15" a="1"/>
  <c r="D49" i="15" a="1"/>
  <c r="D55" i="15" a="1"/>
  <c r="D61" i="15" a="1"/>
  <c r="D56" i="15" a="1"/>
  <c r="D51" i="15" a="1"/>
  <c r="D53" i="15" a="1"/>
  <c r="D50" i="15" a="1"/>
  <c r="D58" i="15" a="1"/>
  <c r="D52" i="15" a="1"/>
  <c r="D46" i="15" a="1"/>
  <c r="N31" i="15" a="1"/>
  <c r="N34" i="15" a="1"/>
  <c r="N37" i="15" a="1"/>
  <c r="N40" i="15" a="1"/>
  <c r="N35" i="15" a="1"/>
  <c r="N41" i="15" a="1"/>
  <c r="O35" i="15" a="1"/>
  <c r="O38" i="15" a="1"/>
  <c r="N36" i="15" a="1"/>
  <c r="O33" i="15" a="1"/>
  <c r="O39" i="15" a="1"/>
  <c r="O31" i="15" a="1"/>
  <c r="O34" i="15" a="1"/>
  <c r="O37" i="15" a="1"/>
  <c r="O40" i="15" a="1"/>
  <c r="N32" i="15" a="1"/>
  <c r="N38" i="15" a="1"/>
  <c r="O32" i="15" a="1"/>
  <c r="O41" i="15" a="1"/>
  <c r="N33" i="15" a="1"/>
  <c r="N39" i="15" a="1"/>
  <c r="O36" i="15" a="1"/>
  <c r="M32" i="15" a="1"/>
  <c r="M34" i="15" a="1"/>
  <c r="M40" i="15" a="1"/>
  <c r="M41" i="15" a="1"/>
  <c r="M38" i="15" a="1"/>
  <c r="M39" i="15" a="1"/>
  <c r="M36" i="15" a="1"/>
  <c r="M35" i="15" a="1"/>
  <c r="M37" i="15" a="1"/>
  <c r="M33" i="15" a="1"/>
  <c r="M31" i="15" a="1"/>
  <c r="F31" i="15" a="1"/>
  <c r="F34" i="15" a="1"/>
  <c r="F37" i="15" a="1"/>
  <c r="F40" i="15" a="1"/>
  <c r="F43" i="15" a="1"/>
  <c r="F42" i="15" a="1"/>
  <c r="G36" i="15" a="1"/>
  <c r="G31" i="15" a="1"/>
  <c r="G34" i="15" a="1"/>
  <c r="G37" i="15" a="1"/>
  <c r="G40" i="15" a="1"/>
  <c r="G43" i="15" a="1"/>
  <c r="F33" i="15" a="1"/>
  <c r="G33" i="15" a="1"/>
  <c r="F35" i="15" a="1"/>
  <c r="F38" i="15" a="1"/>
  <c r="G32" i="15" a="1"/>
  <c r="G38" i="15" a="1"/>
  <c r="F39" i="15" a="1"/>
  <c r="G42" i="15" a="1"/>
  <c r="F32" i="15" a="1"/>
  <c r="F41" i="15" a="1"/>
  <c r="G35" i="15" a="1"/>
  <c r="G41" i="15" a="1"/>
  <c r="G39" i="15" a="1"/>
  <c r="F36" i="15" a="1"/>
  <c r="E39" i="15" a="1"/>
  <c r="E34" i="15" a="1"/>
  <c r="E41" i="15" a="1"/>
  <c r="E42" i="15" a="1"/>
  <c r="E32" i="15" a="1"/>
  <c r="E33" i="15" a="1"/>
  <c r="E40" i="15" a="1"/>
  <c r="E36" i="15" a="1"/>
  <c r="E43" i="15" a="1"/>
  <c r="E38" i="15" a="1"/>
  <c r="E35" i="15" a="1"/>
  <c r="E37" i="15" a="1"/>
  <c r="E31" i="15" a="1"/>
  <c r="C13" i="4" l="1"/>
  <c r="H28" i="15"/>
  <c r="H27" i="15"/>
  <c r="H26" i="15"/>
  <c r="H25" i="15"/>
  <c r="H24" i="15"/>
  <c r="H23" i="15"/>
  <c r="H22" i="15"/>
  <c r="H18" i="15"/>
  <c r="H17" i="15"/>
  <c r="H16" i="15"/>
  <c r="H15" i="15"/>
  <c r="H14" i="15"/>
  <c r="H13" i="15"/>
  <c r="H21" i="15"/>
  <c r="H20" i="15"/>
  <c r="H19" i="15"/>
  <c r="H47" i="15"/>
  <c r="H48" i="15"/>
  <c r="H64" i="15"/>
  <c r="H58" i="15"/>
  <c r="H52" i="15"/>
  <c r="H51" i="15"/>
  <c r="H57" i="15"/>
  <c r="H62" i="15"/>
  <c r="H50" i="15"/>
  <c r="H66" i="15"/>
  <c r="H63" i="15"/>
  <c r="H56" i="15"/>
  <c r="H61" i="15"/>
  <c r="H55" i="15"/>
  <c r="H49" i="15"/>
  <c r="H60" i="15"/>
  <c r="H54" i="15"/>
  <c r="H65" i="15"/>
  <c r="H59" i="15"/>
  <c r="H53" i="15"/>
  <c r="H46" i="15"/>
  <c r="D66" i="15"/>
  <c r="D65" i="15"/>
  <c r="D64" i="15"/>
  <c r="D63" i="15"/>
  <c r="D62" i="15"/>
  <c r="D52" i="15"/>
  <c r="D58" i="15"/>
  <c r="D50" i="15"/>
  <c r="D53" i="15"/>
  <c r="D51" i="15"/>
  <c r="D56" i="15"/>
  <c r="D61" i="15"/>
  <c r="D55" i="15"/>
  <c r="D49" i="15"/>
  <c r="D59" i="15"/>
  <c r="D57" i="15"/>
  <c r="D60" i="15"/>
  <c r="D54" i="15"/>
  <c r="D48" i="15"/>
  <c r="D47" i="15"/>
  <c r="D46" i="15"/>
  <c r="O36" i="15"/>
  <c r="N39" i="15"/>
  <c r="N33" i="15"/>
  <c r="O41" i="15"/>
  <c r="O32" i="15"/>
  <c r="N38" i="15"/>
  <c r="N32" i="15"/>
  <c r="O40" i="15"/>
  <c r="O37" i="15"/>
  <c r="O34" i="15"/>
  <c r="O31" i="15"/>
  <c r="O39" i="15"/>
  <c r="O33" i="15"/>
  <c r="N36" i="15"/>
  <c r="O38" i="15"/>
  <c r="O35" i="15"/>
  <c r="N41" i="15"/>
  <c r="N35" i="15"/>
  <c r="N40" i="15"/>
  <c r="N37" i="15"/>
  <c r="N34" i="15"/>
  <c r="N31" i="15"/>
  <c r="M33" i="15"/>
  <c r="M37" i="15"/>
  <c r="M35" i="15"/>
  <c r="M36" i="15"/>
  <c r="M39" i="15"/>
  <c r="M38" i="15"/>
  <c r="M41" i="15"/>
  <c r="M40" i="15"/>
  <c r="M34" i="15"/>
  <c r="M32" i="15"/>
  <c r="M31" i="15"/>
  <c r="F36" i="15"/>
  <c r="G39" i="15"/>
  <c r="G41" i="15"/>
  <c r="G35" i="15"/>
  <c r="F41" i="15"/>
  <c r="F32" i="15"/>
  <c r="G42" i="15"/>
  <c r="F39" i="15"/>
  <c r="G38" i="15"/>
  <c r="G32" i="15"/>
  <c r="F38" i="15"/>
  <c r="F35" i="15"/>
  <c r="G33" i="15"/>
  <c r="F33" i="15"/>
  <c r="G43" i="15"/>
  <c r="G40" i="15"/>
  <c r="G37" i="15"/>
  <c r="G34" i="15"/>
  <c r="G31" i="15"/>
  <c r="G36" i="15"/>
  <c r="F42" i="15"/>
  <c r="F43" i="15"/>
  <c r="F40" i="15"/>
  <c r="F37" i="15"/>
  <c r="F34" i="15"/>
  <c r="F31" i="15"/>
  <c r="E37" i="15"/>
  <c r="E35" i="15"/>
  <c r="E38" i="15"/>
  <c r="E43" i="15"/>
  <c r="E36" i="15"/>
  <c r="E40" i="15"/>
  <c r="E33" i="15"/>
  <c r="E32" i="15"/>
  <c r="E42" i="15"/>
  <c r="E41" i="15"/>
  <c r="E34" i="15"/>
  <c r="E39" i="15"/>
  <c r="E31" i="15"/>
  <c r="C32" i="15"/>
  <c r="D32" i="15" s="1"/>
  <c r="K31" i="15"/>
  <c r="K32" i="15" s="1"/>
  <c r="D31" i="15"/>
  <c r="I13" i="14"/>
  <c r="I14" i="14"/>
  <c r="I15" i="14"/>
  <c r="I16" i="14"/>
  <c r="I17" i="14"/>
  <c r="I18" i="14"/>
  <c r="I19" i="14"/>
  <c r="I20" i="14"/>
  <c r="I21" i="14"/>
  <c r="I22" i="14"/>
  <c r="I23" i="14"/>
  <c r="U23" i="14" s="1"/>
  <c r="I24" i="14"/>
  <c r="I25" i="14"/>
  <c r="I26" i="14"/>
  <c r="I27" i="14"/>
  <c r="I28" i="14"/>
  <c r="I29" i="14"/>
  <c r="I30" i="14"/>
  <c r="I31" i="14"/>
  <c r="I32" i="14"/>
  <c r="U32" i="14" s="1"/>
  <c r="I33" i="14"/>
  <c r="I34" i="14"/>
  <c r="I35" i="14"/>
  <c r="X35" i="14" s="1"/>
  <c r="I36" i="14"/>
  <c r="I37" i="14"/>
  <c r="I38" i="14"/>
  <c r="I39" i="14"/>
  <c r="I40" i="14"/>
  <c r="I41" i="14"/>
  <c r="I42" i="14"/>
  <c r="I43" i="14"/>
  <c r="I44" i="14"/>
  <c r="I45" i="14"/>
  <c r="I46" i="14"/>
  <c r="I47" i="14"/>
  <c r="U47" i="14" s="1"/>
  <c r="I48" i="14"/>
  <c r="I49" i="14"/>
  <c r="I50" i="14"/>
  <c r="I51" i="14"/>
  <c r="I52" i="14"/>
  <c r="I53" i="14"/>
  <c r="I54" i="14"/>
  <c r="I55" i="14"/>
  <c r="I56" i="14"/>
  <c r="U56" i="14" s="1"/>
  <c r="I57" i="14"/>
  <c r="I58" i="14"/>
  <c r="I59" i="14"/>
  <c r="X59" i="14" s="1"/>
  <c r="I60" i="14"/>
  <c r="I61" i="14"/>
  <c r="I62" i="14"/>
  <c r="I63" i="14"/>
  <c r="I64" i="14"/>
  <c r="I65" i="14"/>
  <c r="I66" i="14"/>
  <c r="I67" i="14"/>
  <c r="I68" i="14"/>
  <c r="X68" i="14" s="1"/>
  <c r="I69" i="14"/>
  <c r="I70" i="14"/>
  <c r="I71" i="14"/>
  <c r="X71" i="14" s="1"/>
  <c r="I72" i="14"/>
  <c r="I73" i="14"/>
  <c r="I74" i="14"/>
  <c r="I75" i="14"/>
  <c r="I76" i="14"/>
  <c r="I77" i="14"/>
  <c r="I78" i="14"/>
  <c r="I79" i="14"/>
  <c r="I80" i="14"/>
  <c r="I81" i="14"/>
  <c r="I82" i="14"/>
  <c r="I83" i="14"/>
  <c r="L83" i="14" s="1"/>
  <c r="AJ83" i="14" s="1"/>
  <c r="I84" i="14"/>
  <c r="I85" i="14"/>
  <c r="I86" i="14"/>
  <c r="I87" i="14"/>
  <c r="I88" i="14"/>
  <c r="I89" i="14"/>
  <c r="I90" i="14"/>
  <c r="I91" i="14"/>
  <c r="I92" i="14"/>
  <c r="I93" i="14"/>
  <c r="I94" i="14"/>
  <c r="I95" i="14"/>
  <c r="U95" i="14" s="1"/>
  <c r="I96" i="14"/>
  <c r="I97" i="14"/>
  <c r="L97" i="14" s="1"/>
  <c r="AD97" i="14" s="1"/>
  <c r="I98" i="14"/>
  <c r="I99" i="14"/>
  <c r="I100" i="14"/>
  <c r="I101" i="14"/>
  <c r="I102" i="14"/>
  <c r="I103" i="14"/>
  <c r="I104" i="14"/>
  <c r="I105" i="14"/>
  <c r="I106" i="14"/>
  <c r="U106" i="14" s="1"/>
  <c r="I107" i="14"/>
  <c r="U107" i="14" s="1"/>
  <c r="I108" i="14"/>
  <c r="I109" i="14"/>
  <c r="O109" i="14" s="1"/>
  <c r="R109" i="14" s="1"/>
  <c r="I110" i="14"/>
  <c r="I111" i="14"/>
  <c r="I112" i="14"/>
  <c r="H13" i="14"/>
  <c r="H14" i="14"/>
  <c r="K14" i="14" s="1"/>
  <c r="AI14" i="14" s="1"/>
  <c r="H15" i="14"/>
  <c r="H16" i="14"/>
  <c r="T16" i="14" s="1"/>
  <c r="H17" i="14"/>
  <c r="H18" i="14"/>
  <c r="H19" i="14"/>
  <c r="T19" i="14" s="1"/>
  <c r="H20" i="14"/>
  <c r="H21" i="14"/>
  <c r="H22" i="14"/>
  <c r="H23" i="14"/>
  <c r="H24" i="14"/>
  <c r="T24" i="14" s="1"/>
  <c r="H25" i="14"/>
  <c r="H26" i="14"/>
  <c r="T26" i="14" s="1"/>
  <c r="H27" i="14"/>
  <c r="W27" i="14" s="1"/>
  <c r="H28" i="14"/>
  <c r="W28" i="14" s="1"/>
  <c r="H29" i="14"/>
  <c r="H30" i="14"/>
  <c r="H31" i="14"/>
  <c r="T31" i="14" s="1"/>
  <c r="H32" i="14"/>
  <c r="H33" i="14"/>
  <c r="H34" i="14"/>
  <c r="H35" i="14"/>
  <c r="H36" i="14"/>
  <c r="T36" i="14" s="1"/>
  <c r="H37" i="14"/>
  <c r="H38" i="14"/>
  <c r="W38" i="14" s="1"/>
  <c r="H39" i="14"/>
  <c r="H40" i="14"/>
  <c r="N40" i="14" s="1"/>
  <c r="Q40" i="14" s="1"/>
  <c r="H41" i="14"/>
  <c r="H42" i="14"/>
  <c r="H43" i="14"/>
  <c r="W43" i="14" s="1"/>
  <c r="H44" i="14"/>
  <c r="T44" i="14" s="1"/>
  <c r="H45" i="14"/>
  <c r="H46" i="14"/>
  <c r="N46" i="14" s="1"/>
  <c r="Q46" i="14" s="1"/>
  <c r="H47" i="14"/>
  <c r="H48" i="14"/>
  <c r="H49" i="14"/>
  <c r="H50" i="14"/>
  <c r="H51" i="14"/>
  <c r="H52" i="14"/>
  <c r="W52" i="14" s="1"/>
  <c r="H53" i="14"/>
  <c r="H54" i="14"/>
  <c r="H55" i="14"/>
  <c r="H56" i="14"/>
  <c r="H57" i="14"/>
  <c r="H58" i="14"/>
  <c r="H59" i="14"/>
  <c r="H60" i="14"/>
  <c r="W60" i="14" s="1"/>
  <c r="H61" i="14"/>
  <c r="H62" i="14"/>
  <c r="H63" i="14"/>
  <c r="H64" i="14"/>
  <c r="N64" i="14" s="1"/>
  <c r="Q64" i="14" s="1"/>
  <c r="H65" i="14"/>
  <c r="H66" i="14"/>
  <c r="H67" i="14"/>
  <c r="H68" i="14"/>
  <c r="H69" i="14"/>
  <c r="H70" i="14"/>
  <c r="H71" i="14"/>
  <c r="H72" i="14"/>
  <c r="W72" i="14" s="1"/>
  <c r="H73" i="14"/>
  <c r="H74" i="14"/>
  <c r="T74" i="14" s="1"/>
  <c r="H75" i="14"/>
  <c r="H76" i="14"/>
  <c r="W76" i="14" s="1"/>
  <c r="H77" i="14"/>
  <c r="H78" i="14"/>
  <c r="H79" i="14"/>
  <c r="H80" i="14"/>
  <c r="N80" i="14" s="1"/>
  <c r="Q80" i="14" s="1"/>
  <c r="H81" i="14"/>
  <c r="H82" i="14"/>
  <c r="H83" i="14"/>
  <c r="H84" i="14"/>
  <c r="T84" i="14" s="1"/>
  <c r="H85" i="14"/>
  <c r="H86" i="14"/>
  <c r="T86" i="14" s="1"/>
  <c r="H87" i="14"/>
  <c r="H88" i="14"/>
  <c r="T88" i="14" s="1"/>
  <c r="H89" i="14"/>
  <c r="H90" i="14"/>
  <c r="H91" i="14"/>
  <c r="W91" i="14" s="1"/>
  <c r="H92" i="14"/>
  <c r="H93" i="14"/>
  <c r="H94" i="14"/>
  <c r="H95" i="14"/>
  <c r="H96" i="14"/>
  <c r="K96" i="14" s="1"/>
  <c r="H97" i="14"/>
  <c r="H98" i="14"/>
  <c r="H99" i="14"/>
  <c r="W99" i="14" s="1"/>
  <c r="H100" i="14"/>
  <c r="T100" i="14" s="1"/>
  <c r="H101" i="14"/>
  <c r="H102" i="14"/>
  <c r="H103" i="14"/>
  <c r="W103" i="14" s="1"/>
  <c r="H104" i="14"/>
  <c r="T104" i="14" s="1"/>
  <c r="H105" i="14"/>
  <c r="H106" i="14"/>
  <c r="T106" i="14" s="1"/>
  <c r="H107" i="14"/>
  <c r="H108" i="14"/>
  <c r="T108" i="14" s="1"/>
  <c r="H109" i="14"/>
  <c r="H110" i="14"/>
  <c r="H111" i="14"/>
  <c r="K111" i="14" s="1"/>
  <c r="AI111" i="14" s="1"/>
  <c r="H112" i="14"/>
  <c r="T112" i="14" s="1"/>
  <c r="G13" i="14"/>
  <c r="G14" i="14"/>
  <c r="G15" i="14"/>
  <c r="V15" i="14" s="1"/>
  <c r="G16" i="14"/>
  <c r="V16" i="14" s="1"/>
  <c r="G17" i="14"/>
  <c r="G18" i="14"/>
  <c r="G19" i="14"/>
  <c r="V19" i="14" s="1"/>
  <c r="G20" i="14"/>
  <c r="S20" i="14" s="1"/>
  <c r="G21" i="14"/>
  <c r="G22" i="14"/>
  <c r="G23" i="14"/>
  <c r="S23" i="14" s="1"/>
  <c r="G24" i="14"/>
  <c r="S24" i="14" s="1"/>
  <c r="G25" i="14"/>
  <c r="G26" i="14"/>
  <c r="G27" i="14"/>
  <c r="G28" i="14"/>
  <c r="G29" i="14"/>
  <c r="G30" i="14"/>
  <c r="G31" i="14"/>
  <c r="G32" i="14"/>
  <c r="G33" i="14"/>
  <c r="G34" i="14"/>
  <c r="G35" i="14"/>
  <c r="G36" i="14"/>
  <c r="S36" i="14" s="1"/>
  <c r="G37" i="14"/>
  <c r="G38" i="14"/>
  <c r="G39" i="14"/>
  <c r="G40" i="14"/>
  <c r="M40" i="14" s="1"/>
  <c r="P40" i="14" s="1"/>
  <c r="G41" i="14"/>
  <c r="G42" i="14"/>
  <c r="G43" i="14"/>
  <c r="M43" i="14" s="1"/>
  <c r="P43" i="14" s="1"/>
  <c r="G44" i="14"/>
  <c r="G45" i="14"/>
  <c r="J45" i="14" s="1"/>
  <c r="AB45" i="14" s="1"/>
  <c r="G46" i="14"/>
  <c r="G47" i="14"/>
  <c r="M47" i="14" s="1"/>
  <c r="P47" i="14" s="1"/>
  <c r="G48" i="14"/>
  <c r="M48" i="14" s="1"/>
  <c r="P48" i="14" s="1"/>
  <c r="G49" i="14"/>
  <c r="G50" i="14"/>
  <c r="G51" i="14"/>
  <c r="G52" i="14"/>
  <c r="V52" i="14" s="1"/>
  <c r="G53" i="14"/>
  <c r="G54" i="14"/>
  <c r="G55" i="14"/>
  <c r="G56" i="14"/>
  <c r="M56" i="14" s="1"/>
  <c r="P56" i="14" s="1"/>
  <c r="G57" i="14"/>
  <c r="M57" i="14" s="1"/>
  <c r="P57" i="14" s="1"/>
  <c r="G58" i="14"/>
  <c r="G59" i="14"/>
  <c r="M59" i="14" s="1"/>
  <c r="P59" i="14" s="1"/>
  <c r="G60" i="14"/>
  <c r="S60" i="14" s="1"/>
  <c r="G61" i="14"/>
  <c r="G62" i="14"/>
  <c r="G63" i="14"/>
  <c r="M63" i="14" s="1"/>
  <c r="P63" i="14" s="1"/>
  <c r="G64" i="14"/>
  <c r="S64" i="14" s="1"/>
  <c r="G65" i="14"/>
  <c r="G66" i="14"/>
  <c r="G67" i="14"/>
  <c r="S67" i="14" s="1"/>
  <c r="G68" i="14"/>
  <c r="S68" i="14" s="1"/>
  <c r="G69" i="14"/>
  <c r="G70" i="14"/>
  <c r="G71" i="14"/>
  <c r="G72" i="14"/>
  <c r="M72" i="14" s="1"/>
  <c r="P72" i="14" s="1"/>
  <c r="G73" i="14"/>
  <c r="G74" i="14"/>
  <c r="G75" i="14"/>
  <c r="V75" i="14" s="1"/>
  <c r="G76" i="14"/>
  <c r="G77" i="14"/>
  <c r="G78" i="14"/>
  <c r="G79" i="14"/>
  <c r="M79" i="14" s="1"/>
  <c r="P79" i="14" s="1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M98" i="14" s="1"/>
  <c r="P98" i="14" s="1"/>
  <c r="G99" i="14"/>
  <c r="G100" i="14"/>
  <c r="G101" i="14"/>
  <c r="G102" i="14"/>
  <c r="G103" i="14"/>
  <c r="S103" i="14" s="1"/>
  <c r="G104" i="14"/>
  <c r="V104" i="14" s="1"/>
  <c r="G105" i="14"/>
  <c r="G106" i="14"/>
  <c r="G107" i="14"/>
  <c r="G108" i="14"/>
  <c r="V108" i="14" s="1"/>
  <c r="G109" i="14"/>
  <c r="G110" i="14"/>
  <c r="G111" i="14"/>
  <c r="G112" i="14"/>
  <c r="M112" i="14" s="1"/>
  <c r="P112" i="14" s="1"/>
  <c r="I12" i="14"/>
  <c r="U12" i="14" s="1"/>
  <c r="H12" i="14"/>
  <c r="N12" i="14" s="1"/>
  <c r="Q12" i="14" s="1"/>
  <c r="U16" i="14"/>
  <c r="W20" i="14"/>
  <c r="X20" i="14"/>
  <c r="U24" i="14"/>
  <c r="S27" i="14"/>
  <c r="J28" i="14"/>
  <c r="AH28" i="14" s="1"/>
  <c r="U28" i="14"/>
  <c r="T32" i="14"/>
  <c r="U36" i="14"/>
  <c r="O40" i="14"/>
  <c r="R40" i="14" s="1"/>
  <c r="U44" i="14"/>
  <c r="T48" i="14"/>
  <c r="U48" i="14"/>
  <c r="V51" i="14"/>
  <c r="U52" i="14"/>
  <c r="N56" i="14"/>
  <c r="Q56" i="14" s="1"/>
  <c r="U64" i="14"/>
  <c r="K71" i="14"/>
  <c r="AF71" i="14" s="1"/>
  <c r="X72" i="14"/>
  <c r="W75" i="14"/>
  <c r="M76" i="14"/>
  <c r="P76" i="14" s="1"/>
  <c r="O76" i="14"/>
  <c r="R76" i="14" s="1"/>
  <c r="S80" i="14"/>
  <c r="U84" i="14"/>
  <c r="U88" i="14"/>
  <c r="W92" i="14"/>
  <c r="U92" i="14"/>
  <c r="W95" i="14"/>
  <c r="U96" i="14"/>
  <c r="U100" i="14"/>
  <c r="X108" i="14"/>
  <c r="U111" i="14"/>
  <c r="X112" i="14"/>
  <c r="S32" i="14"/>
  <c r="J44" i="14"/>
  <c r="AH44" i="14" s="1"/>
  <c r="U101" i="14"/>
  <c r="U105" i="14"/>
  <c r="X110" i="14"/>
  <c r="U20" i="14"/>
  <c r="N63" i="14"/>
  <c r="Q63" i="14" s="1"/>
  <c r="N69" i="14"/>
  <c r="Q69" i="14" s="1"/>
  <c r="K73" i="14"/>
  <c r="AF73" i="14" s="1"/>
  <c r="W81" i="14"/>
  <c r="W83" i="14"/>
  <c r="S86" i="14"/>
  <c r="W87" i="14"/>
  <c r="K89" i="14"/>
  <c r="S90" i="14"/>
  <c r="S94" i="14"/>
  <c r="W101" i="14"/>
  <c r="M102" i="14"/>
  <c r="P102" i="14" s="1"/>
  <c r="X103" i="14"/>
  <c r="K105" i="14"/>
  <c r="AI105" i="14" s="1"/>
  <c r="S109" i="14"/>
  <c r="K109" i="14"/>
  <c r="AI109" i="14" s="1"/>
  <c r="V110" i="14"/>
  <c r="G12" i="14"/>
  <c r="V12" i="14" s="1"/>
  <c r="T110" i="14"/>
  <c r="V106" i="14"/>
  <c r="L103" i="14"/>
  <c r="AD103" i="14" s="1"/>
  <c r="U103" i="14"/>
  <c r="T102" i="14"/>
  <c r="L99" i="14"/>
  <c r="AD99" i="14" s="1"/>
  <c r="U99" i="14"/>
  <c r="S98" i="14"/>
  <c r="T98" i="14"/>
  <c r="X97" i="14"/>
  <c r="W94" i="14"/>
  <c r="T94" i="14"/>
  <c r="X93" i="14"/>
  <c r="X91" i="14"/>
  <c r="T90" i="14"/>
  <c r="L89" i="14"/>
  <c r="AJ89" i="14" s="1"/>
  <c r="W89" i="14"/>
  <c r="X85" i="14"/>
  <c r="W85" i="14"/>
  <c r="L85" i="14"/>
  <c r="AJ85" i="14" s="1"/>
  <c r="K85" i="14"/>
  <c r="AF85" i="14" s="1"/>
  <c r="S82" i="14"/>
  <c r="M82" i="14"/>
  <c r="P82" i="14" s="1"/>
  <c r="T82" i="14"/>
  <c r="O81" i="14"/>
  <c r="R81" i="14" s="1"/>
  <c r="X81" i="14"/>
  <c r="W79" i="14"/>
  <c r="O78" i="14"/>
  <c r="R78" i="14" s="1"/>
  <c r="M78" i="14"/>
  <c r="P78" i="14" s="1"/>
  <c r="X78" i="14"/>
  <c r="W78" i="14"/>
  <c r="X77" i="14"/>
  <c r="U77" i="14"/>
  <c r="T77" i="14"/>
  <c r="V77" i="14"/>
  <c r="X75" i="14"/>
  <c r="K74" i="14"/>
  <c r="X74" i="14"/>
  <c r="M74" i="14"/>
  <c r="P74" i="14" s="1"/>
  <c r="S73" i="14"/>
  <c r="N71" i="14"/>
  <c r="Q71" i="14" s="1"/>
  <c r="S71" i="14"/>
  <c r="M70" i="14"/>
  <c r="P70" i="14" s="1"/>
  <c r="X70" i="14"/>
  <c r="K70" i="14"/>
  <c r="AC70" i="14" s="1"/>
  <c r="S69" i="14"/>
  <c r="X67" i="14"/>
  <c r="W66" i="14"/>
  <c r="U66" i="14"/>
  <c r="X65" i="14"/>
  <c r="M65" i="14"/>
  <c r="P65" i="14" s="1"/>
  <c r="U63" i="14"/>
  <c r="U62" i="14"/>
  <c r="O62" i="14"/>
  <c r="R62" i="14" s="1"/>
  <c r="V62" i="14"/>
  <c r="X61" i="14"/>
  <c r="W59" i="14"/>
  <c r="K58" i="14"/>
  <c r="Z58" i="14" s="1"/>
  <c r="M58" i="14"/>
  <c r="P58" i="14" s="1"/>
  <c r="W57" i="14"/>
  <c r="U55" i="14"/>
  <c r="T55" i="14"/>
  <c r="O54" i="14"/>
  <c r="R54" i="14" s="1"/>
  <c r="W54" i="14"/>
  <c r="V54" i="14"/>
  <c r="T53" i="14"/>
  <c r="M53" i="14"/>
  <c r="P53" i="14" s="1"/>
  <c r="U51" i="14"/>
  <c r="V50" i="14"/>
  <c r="U50" i="14"/>
  <c r="S50" i="14"/>
  <c r="O49" i="14"/>
  <c r="R49" i="14" s="1"/>
  <c r="U49" i="14"/>
  <c r="W49" i="14"/>
  <c r="V46" i="14"/>
  <c r="U46" i="14"/>
  <c r="M46" i="14"/>
  <c r="P46" i="14" s="1"/>
  <c r="U45" i="14"/>
  <c r="X45" i="14"/>
  <c r="T45" i="14"/>
  <c r="X43" i="14"/>
  <c r="J42" i="14"/>
  <c r="AB42" i="14" s="1"/>
  <c r="T42" i="14"/>
  <c r="V42" i="14"/>
  <c r="W41" i="14"/>
  <c r="N41" i="14"/>
  <c r="Q41" i="14" s="1"/>
  <c r="O41" i="14"/>
  <c r="R41" i="14" s="1"/>
  <c r="T41" i="14"/>
  <c r="L39" i="14"/>
  <c r="U38" i="14"/>
  <c r="T38" i="14"/>
  <c r="S38" i="14"/>
  <c r="X37" i="14"/>
  <c r="W35" i="14"/>
  <c r="T35" i="14"/>
  <c r="U34" i="14"/>
  <c r="T34" i="14"/>
  <c r="S34" i="14"/>
  <c r="X33" i="14"/>
  <c r="W33" i="14"/>
  <c r="S33" i="14"/>
  <c r="L31" i="14"/>
  <c r="W31" i="14"/>
  <c r="S31" i="14"/>
  <c r="N30" i="14"/>
  <c r="Q30" i="14" s="1"/>
  <c r="K30" i="14"/>
  <c r="AF30" i="14" s="1"/>
  <c r="U30" i="14"/>
  <c r="T30" i="14"/>
  <c r="S30" i="14"/>
  <c r="X29" i="14"/>
  <c r="W29" i="14"/>
  <c r="T27" i="14"/>
  <c r="K27" i="14"/>
  <c r="AI27" i="14" s="1"/>
  <c r="X27" i="14"/>
  <c r="U26" i="14"/>
  <c r="S26" i="14"/>
  <c r="T25" i="14"/>
  <c r="U25" i="14"/>
  <c r="K25" i="14"/>
  <c r="S25" i="14"/>
  <c r="T23" i="14"/>
  <c r="T22" i="14"/>
  <c r="N22" i="14"/>
  <c r="Q22" i="14" s="1"/>
  <c r="K22" i="14"/>
  <c r="AF22" i="14" s="1"/>
  <c r="U22" i="14"/>
  <c r="W22" i="14"/>
  <c r="S22" i="14"/>
  <c r="U21" i="14"/>
  <c r="N21" i="14"/>
  <c r="Q21" i="14" s="1"/>
  <c r="V21" i="14"/>
  <c r="U19" i="14"/>
  <c r="X18" i="14"/>
  <c r="U18" i="14"/>
  <c r="T18" i="14"/>
  <c r="S18" i="14"/>
  <c r="X17" i="14"/>
  <c r="T17" i="14"/>
  <c r="V17" i="14"/>
  <c r="X15" i="14"/>
  <c r="W14" i="14"/>
  <c r="N14" i="14"/>
  <c r="Q14" i="14" s="1"/>
  <c r="U14" i="14"/>
  <c r="S14" i="14"/>
  <c r="X13" i="14"/>
  <c r="V13" i="14"/>
  <c r="K12" i="14"/>
  <c r="AI12" i="14" s="1"/>
  <c r="T12" i="14"/>
  <c r="I13" i="13"/>
  <c r="X13" i="13" s="1"/>
  <c r="I14" i="13"/>
  <c r="U14" i="13" s="1"/>
  <c r="I15" i="13"/>
  <c r="O15" i="13" s="1"/>
  <c r="R15" i="13" s="1"/>
  <c r="I16" i="13"/>
  <c r="O16" i="13" s="1"/>
  <c r="R16" i="13" s="1"/>
  <c r="I17" i="13"/>
  <c r="U17" i="13" s="1"/>
  <c r="I18" i="13"/>
  <c r="O18" i="13" s="1"/>
  <c r="R18" i="13" s="1"/>
  <c r="I19" i="13"/>
  <c r="U19" i="13" s="1"/>
  <c r="I20" i="13"/>
  <c r="I21" i="13"/>
  <c r="I22" i="13"/>
  <c r="I23" i="13"/>
  <c r="I24" i="13"/>
  <c r="U24" i="13" s="1"/>
  <c r="I25" i="13"/>
  <c r="U25" i="13" s="1"/>
  <c r="I26" i="13"/>
  <c r="O26" i="13" s="1"/>
  <c r="R26" i="13" s="1"/>
  <c r="I27" i="13"/>
  <c r="U27" i="13" s="1"/>
  <c r="I28" i="13"/>
  <c r="I29" i="13"/>
  <c r="O29" i="13" s="1"/>
  <c r="R29" i="13" s="1"/>
  <c r="I30" i="13"/>
  <c r="U30" i="13" s="1"/>
  <c r="I31" i="13"/>
  <c r="U31" i="13" s="1"/>
  <c r="I32" i="13"/>
  <c r="I33" i="13"/>
  <c r="I34" i="13"/>
  <c r="I35" i="13"/>
  <c r="O35" i="13" s="1"/>
  <c r="R35" i="13" s="1"/>
  <c r="I36" i="13"/>
  <c r="U36" i="13" s="1"/>
  <c r="I37" i="13"/>
  <c r="U37" i="13" s="1"/>
  <c r="I38" i="13"/>
  <c r="U38" i="13" s="1"/>
  <c r="I39" i="13"/>
  <c r="U39" i="13" s="1"/>
  <c r="I40" i="13"/>
  <c r="O40" i="13" s="1"/>
  <c r="R40" i="13" s="1"/>
  <c r="I41" i="13"/>
  <c r="X41" i="13" s="1"/>
  <c r="I42" i="13"/>
  <c r="U42" i="13" s="1"/>
  <c r="I43" i="13"/>
  <c r="O43" i="13" s="1"/>
  <c r="R43" i="13" s="1"/>
  <c r="I44" i="13"/>
  <c r="I45" i="13"/>
  <c r="O45" i="13" s="1"/>
  <c r="R45" i="13" s="1"/>
  <c r="I46" i="13"/>
  <c r="X46" i="13" s="1"/>
  <c r="I47" i="13"/>
  <c r="U47" i="13" s="1"/>
  <c r="I48" i="13"/>
  <c r="I49" i="13"/>
  <c r="I50" i="13"/>
  <c r="I51" i="13"/>
  <c r="U51" i="13" s="1"/>
  <c r="I52" i="13"/>
  <c r="U52" i="13" s="1"/>
  <c r="I53" i="13"/>
  <c r="O53" i="13" s="1"/>
  <c r="R53" i="13" s="1"/>
  <c r="I54" i="13"/>
  <c r="O54" i="13" s="1"/>
  <c r="R54" i="13" s="1"/>
  <c r="I55" i="13"/>
  <c r="O55" i="13" s="1"/>
  <c r="R55" i="13" s="1"/>
  <c r="I56" i="13"/>
  <c r="U56" i="13" s="1"/>
  <c r="I57" i="13"/>
  <c r="I58" i="13"/>
  <c r="I59" i="13"/>
  <c r="I60" i="13"/>
  <c r="I61" i="13"/>
  <c r="X61" i="13" s="1"/>
  <c r="I62" i="13"/>
  <c r="U62" i="13" s="1"/>
  <c r="I63" i="13"/>
  <c r="O63" i="13" s="1"/>
  <c r="R63" i="13" s="1"/>
  <c r="I64" i="13"/>
  <c r="O64" i="13" s="1"/>
  <c r="R64" i="13" s="1"/>
  <c r="I65" i="13"/>
  <c r="O65" i="13" s="1"/>
  <c r="R65" i="13" s="1"/>
  <c r="I66" i="13"/>
  <c r="X66" i="13" s="1"/>
  <c r="I67" i="13"/>
  <c r="U67" i="13" s="1"/>
  <c r="I68" i="13"/>
  <c r="I69" i="13"/>
  <c r="I70" i="13"/>
  <c r="I71" i="13"/>
  <c r="X71" i="13" s="1"/>
  <c r="I72" i="13"/>
  <c r="U72" i="13" s="1"/>
  <c r="I73" i="13"/>
  <c r="U73" i="13" s="1"/>
  <c r="I74" i="13"/>
  <c r="O74" i="13" s="1"/>
  <c r="R74" i="13" s="1"/>
  <c r="I75" i="13"/>
  <c r="O75" i="13" s="1"/>
  <c r="R75" i="13" s="1"/>
  <c r="I76" i="13"/>
  <c r="X76" i="13" s="1"/>
  <c r="I77" i="13"/>
  <c r="U77" i="13" s="1"/>
  <c r="I78" i="13"/>
  <c r="U78" i="13" s="1"/>
  <c r="I79" i="13"/>
  <c r="U79" i="13" s="1"/>
  <c r="I80" i="13"/>
  <c r="I81" i="13"/>
  <c r="I82" i="13"/>
  <c r="I83" i="13"/>
  <c r="U83" i="13" s="1"/>
  <c r="I84" i="13"/>
  <c r="U84" i="13" s="1"/>
  <c r="I85" i="13"/>
  <c r="O85" i="13" s="1"/>
  <c r="R85" i="13" s="1"/>
  <c r="I86" i="13"/>
  <c r="O86" i="13" s="1"/>
  <c r="R86" i="13" s="1"/>
  <c r="I87" i="13"/>
  <c r="I88" i="13"/>
  <c r="X88" i="13" s="1"/>
  <c r="I89" i="13"/>
  <c r="U89" i="13" s="1"/>
  <c r="I90" i="13"/>
  <c r="U90" i="13" s="1"/>
  <c r="I91" i="13"/>
  <c r="O91" i="13" s="1"/>
  <c r="R91" i="13" s="1"/>
  <c r="I92" i="13"/>
  <c r="I93" i="13"/>
  <c r="X93" i="13" s="1"/>
  <c r="I94" i="13"/>
  <c r="U94" i="13" s="1"/>
  <c r="I95" i="13"/>
  <c r="O95" i="13" s="1"/>
  <c r="R95" i="13" s="1"/>
  <c r="I96" i="13"/>
  <c r="I97" i="13"/>
  <c r="I98" i="13"/>
  <c r="X98" i="13" s="1"/>
  <c r="I99" i="13"/>
  <c r="U99" i="13" s="1"/>
  <c r="I100" i="13"/>
  <c r="U100" i="13" s="1"/>
  <c r="I101" i="13"/>
  <c r="O101" i="13" s="1"/>
  <c r="R101" i="13" s="1"/>
  <c r="I102" i="13"/>
  <c r="O102" i="13" s="1"/>
  <c r="R102" i="13" s="1"/>
  <c r="I103" i="13"/>
  <c r="U103" i="13" s="1"/>
  <c r="I104" i="13"/>
  <c r="I105" i="13"/>
  <c r="I106" i="13"/>
  <c r="I107" i="13"/>
  <c r="I108" i="13"/>
  <c r="U108" i="13" s="1"/>
  <c r="I109" i="13"/>
  <c r="U109" i="13" s="1"/>
  <c r="I110" i="13"/>
  <c r="O110" i="13" s="1"/>
  <c r="R110" i="13" s="1"/>
  <c r="I111" i="13"/>
  <c r="O111" i="13" s="1"/>
  <c r="R111" i="13" s="1"/>
  <c r="I112" i="13"/>
  <c r="X112" i="13" s="1"/>
  <c r="H13" i="13"/>
  <c r="N13" i="13" s="1"/>
  <c r="Q13" i="13" s="1"/>
  <c r="H14" i="13"/>
  <c r="T14" i="13" s="1"/>
  <c r="H15" i="13"/>
  <c r="N15" i="13" s="1"/>
  <c r="Q15" i="13" s="1"/>
  <c r="H16" i="13"/>
  <c r="N16" i="13" s="1"/>
  <c r="Q16" i="13" s="1"/>
  <c r="H17" i="13"/>
  <c r="T17" i="13" s="1"/>
  <c r="H18" i="13"/>
  <c r="T18" i="13" s="1"/>
  <c r="H19" i="13"/>
  <c r="W19" i="13" s="1"/>
  <c r="H20" i="13"/>
  <c r="H21" i="13"/>
  <c r="H22" i="13"/>
  <c r="W22" i="13" s="1"/>
  <c r="H23" i="13"/>
  <c r="T23" i="13" s="1"/>
  <c r="H24" i="13"/>
  <c r="N24" i="13" s="1"/>
  <c r="Q24" i="13" s="1"/>
  <c r="H25" i="13"/>
  <c r="W25" i="13" s="1"/>
  <c r="H26" i="13"/>
  <c r="N26" i="13" s="1"/>
  <c r="Q26" i="13" s="1"/>
  <c r="H27" i="13"/>
  <c r="H28" i="13"/>
  <c r="W28" i="13" s="1"/>
  <c r="H29" i="13"/>
  <c r="T29" i="13" s="1"/>
  <c r="H30" i="13"/>
  <c r="N30" i="13" s="1"/>
  <c r="Q30" i="13" s="1"/>
  <c r="H31" i="13"/>
  <c r="W31" i="13" s="1"/>
  <c r="H32" i="13"/>
  <c r="H33" i="13"/>
  <c r="H34" i="13"/>
  <c r="W34" i="13" s="1"/>
  <c r="H35" i="13"/>
  <c r="T35" i="13" s="1"/>
  <c r="H36" i="13"/>
  <c r="N36" i="13" s="1"/>
  <c r="Q36" i="13" s="1"/>
  <c r="H37" i="13"/>
  <c r="W37" i="13" s="1"/>
  <c r="H38" i="13"/>
  <c r="N38" i="13" s="1"/>
  <c r="Q38" i="13" s="1"/>
  <c r="H39" i="13"/>
  <c r="H40" i="13"/>
  <c r="W40" i="13" s="1"/>
  <c r="H41" i="13"/>
  <c r="T41" i="13" s="1"/>
  <c r="H42" i="13"/>
  <c r="N42" i="13" s="1"/>
  <c r="Q42" i="13" s="1"/>
  <c r="H43" i="13"/>
  <c r="T43" i="13" s="1"/>
  <c r="H44" i="13"/>
  <c r="H45" i="13"/>
  <c r="H46" i="13"/>
  <c r="T46" i="13" s="1"/>
  <c r="H47" i="13"/>
  <c r="N47" i="13" s="1"/>
  <c r="Q47" i="13" s="1"/>
  <c r="H48" i="13"/>
  <c r="W48" i="13" s="1"/>
  <c r="H49" i="13"/>
  <c r="T49" i="13" s="1"/>
  <c r="H50" i="13"/>
  <c r="H51" i="13"/>
  <c r="W51" i="13" s="1"/>
  <c r="H52" i="13"/>
  <c r="T52" i="13" s="1"/>
  <c r="H53" i="13"/>
  <c r="N53" i="13" s="1"/>
  <c r="Q53" i="13" s="1"/>
  <c r="H54" i="13"/>
  <c r="W54" i="13" s="1"/>
  <c r="H55" i="13"/>
  <c r="T55" i="13" s="1"/>
  <c r="H56" i="13"/>
  <c r="H57" i="13"/>
  <c r="W57" i="13" s="1"/>
  <c r="H58" i="13"/>
  <c r="T58" i="13" s="1"/>
  <c r="H59" i="13"/>
  <c r="N59" i="13" s="1"/>
  <c r="Q59" i="13" s="1"/>
  <c r="H60" i="13"/>
  <c r="W60" i="13" s="1"/>
  <c r="H61" i="13"/>
  <c r="T61" i="13" s="1"/>
  <c r="H62" i="13"/>
  <c r="H63" i="13"/>
  <c r="W63" i="13" s="1"/>
  <c r="H64" i="13"/>
  <c r="T64" i="13" s="1"/>
  <c r="H65" i="13"/>
  <c r="N65" i="13" s="1"/>
  <c r="Q65" i="13" s="1"/>
  <c r="H66" i="13"/>
  <c r="W66" i="13" s="1"/>
  <c r="H67" i="13"/>
  <c r="T67" i="13" s="1"/>
  <c r="H68" i="13"/>
  <c r="W68" i="13" s="1"/>
  <c r="H69" i="13"/>
  <c r="T69" i="13" s="1"/>
  <c r="H70" i="13"/>
  <c r="N70" i="13" s="1"/>
  <c r="Q70" i="13" s="1"/>
  <c r="H71" i="13"/>
  <c r="H72" i="13"/>
  <c r="T72" i="13" s="1"/>
  <c r="H73" i="13"/>
  <c r="T73" i="13" s="1"/>
  <c r="H74" i="13"/>
  <c r="H75" i="13"/>
  <c r="T75" i="13" s="1"/>
  <c r="H76" i="13"/>
  <c r="H77" i="13"/>
  <c r="H78" i="13"/>
  <c r="T78" i="13" s="1"/>
  <c r="H79" i="13"/>
  <c r="N79" i="13" s="1"/>
  <c r="Q79" i="13" s="1"/>
  <c r="H80" i="13"/>
  <c r="H81" i="13"/>
  <c r="N81" i="13" s="1"/>
  <c r="Q81" i="13" s="1"/>
  <c r="H82" i="13"/>
  <c r="N82" i="13" s="1"/>
  <c r="Q82" i="13" s="1"/>
  <c r="H83" i="13"/>
  <c r="H84" i="13"/>
  <c r="T84" i="13" s="1"/>
  <c r="H85" i="13"/>
  <c r="N85" i="13" s="1"/>
  <c r="Q85" i="13" s="1"/>
  <c r="H86" i="13"/>
  <c r="H87" i="13"/>
  <c r="T87" i="13" s="1"/>
  <c r="H88" i="13"/>
  <c r="H89" i="13"/>
  <c r="W89" i="13" s="1"/>
  <c r="H90" i="13"/>
  <c r="T90" i="13" s="1"/>
  <c r="H91" i="13"/>
  <c r="N91" i="13" s="1"/>
  <c r="Q91" i="13" s="1"/>
  <c r="H92" i="13"/>
  <c r="H93" i="13"/>
  <c r="H94" i="13"/>
  <c r="H95" i="13"/>
  <c r="W95" i="13" s="1"/>
  <c r="H96" i="13"/>
  <c r="N96" i="13" s="1"/>
  <c r="Q96" i="13" s="1"/>
  <c r="H97" i="13"/>
  <c r="N97" i="13" s="1"/>
  <c r="Q97" i="13" s="1"/>
  <c r="H98" i="13"/>
  <c r="N98" i="13" s="1"/>
  <c r="Q98" i="13" s="1"/>
  <c r="H99" i="13"/>
  <c r="H100" i="13"/>
  <c r="H101" i="13"/>
  <c r="T101" i="13" s="1"/>
  <c r="H102" i="13"/>
  <c r="N102" i="13" s="1"/>
  <c r="Q102" i="13" s="1"/>
  <c r="H103" i="13"/>
  <c r="T103" i="13" s="1"/>
  <c r="H104" i="13"/>
  <c r="H105" i="13"/>
  <c r="H106" i="13"/>
  <c r="T106" i="13" s="1"/>
  <c r="H107" i="13"/>
  <c r="N107" i="13" s="1"/>
  <c r="Q107" i="13" s="1"/>
  <c r="H108" i="13"/>
  <c r="N108" i="13" s="1"/>
  <c r="Q108" i="13" s="1"/>
  <c r="H109" i="13"/>
  <c r="T109" i="13" s="1"/>
  <c r="H110" i="13"/>
  <c r="H111" i="13"/>
  <c r="W111" i="13" s="1"/>
  <c r="H112" i="13"/>
  <c r="T112" i="13" s="1"/>
  <c r="G13" i="13"/>
  <c r="G14" i="13"/>
  <c r="M14" i="13" s="1"/>
  <c r="P14" i="13" s="1"/>
  <c r="G15" i="13"/>
  <c r="M15" i="13" s="1"/>
  <c r="P15" i="13" s="1"/>
  <c r="G16" i="13"/>
  <c r="V16" i="13" s="1"/>
  <c r="G17" i="13"/>
  <c r="M17" i="13" s="1"/>
  <c r="P17" i="13" s="1"/>
  <c r="G18" i="13"/>
  <c r="G19" i="13"/>
  <c r="G20" i="13"/>
  <c r="G21" i="13"/>
  <c r="G22" i="13"/>
  <c r="G23" i="13"/>
  <c r="M23" i="13" s="1"/>
  <c r="P23" i="13" s="1"/>
  <c r="G24" i="13"/>
  <c r="G25" i="13"/>
  <c r="G26" i="13"/>
  <c r="G27" i="13"/>
  <c r="M27" i="13" s="1"/>
  <c r="P27" i="13" s="1"/>
  <c r="G28" i="13"/>
  <c r="V28" i="13" s="1"/>
  <c r="G29" i="13"/>
  <c r="G30" i="13"/>
  <c r="G31" i="13"/>
  <c r="G32" i="13"/>
  <c r="G33" i="13"/>
  <c r="G34" i="13"/>
  <c r="G35" i="13"/>
  <c r="V35" i="13" s="1"/>
  <c r="G36" i="13"/>
  <c r="G37" i="13"/>
  <c r="G38" i="13"/>
  <c r="G39" i="13"/>
  <c r="M39" i="13" s="1"/>
  <c r="P39" i="13" s="1"/>
  <c r="G40" i="13"/>
  <c r="G41" i="13"/>
  <c r="G42" i="13"/>
  <c r="M42" i="13" s="1"/>
  <c r="P42" i="13" s="1"/>
  <c r="G43" i="13"/>
  <c r="V43" i="13" s="1"/>
  <c r="G44" i="13"/>
  <c r="G45" i="13"/>
  <c r="M45" i="13" s="1"/>
  <c r="P45" i="13" s="1"/>
  <c r="G46" i="13"/>
  <c r="G47" i="13"/>
  <c r="M47" i="13" s="1"/>
  <c r="P47" i="13" s="1"/>
  <c r="G48" i="13"/>
  <c r="G49" i="13"/>
  <c r="G50" i="13"/>
  <c r="M50" i="13" s="1"/>
  <c r="P50" i="13" s="1"/>
  <c r="G51" i="13"/>
  <c r="M51" i="13" s="1"/>
  <c r="P51" i="13" s="1"/>
  <c r="G52" i="13"/>
  <c r="V52" i="13" s="1"/>
  <c r="G53" i="13"/>
  <c r="M53" i="13" s="1"/>
  <c r="P53" i="13" s="1"/>
  <c r="G54" i="13"/>
  <c r="G55" i="13"/>
  <c r="G56" i="13"/>
  <c r="G57" i="13"/>
  <c r="G58" i="13"/>
  <c r="V58" i="13" s="1"/>
  <c r="G59" i="13"/>
  <c r="V59" i="13" s="1"/>
  <c r="G60" i="13"/>
  <c r="G61" i="13"/>
  <c r="G62" i="13"/>
  <c r="G63" i="13"/>
  <c r="M63" i="13" s="1"/>
  <c r="P63" i="13" s="1"/>
  <c r="G64" i="13"/>
  <c r="V64" i="13" s="1"/>
  <c r="G65" i="13"/>
  <c r="G66" i="13"/>
  <c r="G67" i="13"/>
  <c r="V67" i="13" s="1"/>
  <c r="G68" i="13"/>
  <c r="G69" i="13"/>
  <c r="M69" i="13" s="1"/>
  <c r="P69" i="13" s="1"/>
  <c r="G70" i="13"/>
  <c r="G71" i="13"/>
  <c r="M71" i="13" s="1"/>
  <c r="P71" i="13" s="1"/>
  <c r="G72" i="13"/>
  <c r="G73" i="13"/>
  <c r="G74" i="13"/>
  <c r="G75" i="13"/>
  <c r="G76" i="13"/>
  <c r="V76" i="13" s="1"/>
  <c r="G77" i="13"/>
  <c r="G78" i="13"/>
  <c r="G79" i="13"/>
  <c r="G80" i="13"/>
  <c r="M80" i="13" s="1"/>
  <c r="P80" i="13" s="1"/>
  <c r="G81" i="13"/>
  <c r="G82" i="13"/>
  <c r="M82" i="13" s="1"/>
  <c r="P82" i="13" s="1"/>
  <c r="G83" i="13"/>
  <c r="S83" i="13" s="1"/>
  <c r="G84" i="13"/>
  <c r="G85" i="13"/>
  <c r="G86" i="13"/>
  <c r="G87" i="13"/>
  <c r="G88" i="13"/>
  <c r="M88" i="13" s="1"/>
  <c r="P88" i="13" s="1"/>
  <c r="G89" i="13"/>
  <c r="S89" i="13" s="1"/>
  <c r="G90" i="13"/>
  <c r="G91" i="13"/>
  <c r="S91" i="13" s="1"/>
  <c r="G92" i="13"/>
  <c r="V92" i="13" s="1"/>
  <c r="G93" i="13"/>
  <c r="G94" i="13"/>
  <c r="V94" i="13" s="1"/>
  <c r="G95" i="13"/>
  <c r="S95" i="13" s="1"/>
  <c r="G96" i="13"/>
  <c r="G97" i="13"/>
  <c r="S97" i="13" s="1"/>
  <c r="G98" i="13"/>
  <c r="M98" i="13" s="1"/>
  <c r="P98" i="13" s="1"/>
  <c r="G99" i="13"/>
  <c r="G100" i="13"/>
  <c r="S100" i="13" s="1"/>
  <c r="G101" i="13"/>
  <c r="S101" i="13" s="1"/>
  <c r="G102" i="13"/>
  <c r="G103" i="13"/>
  <c r="S103" i="13" s="1"/>
  <c r="G104" i="13"/>
  <c r="S104" i="13" s="1"/>
  <c r="G105" i="13"/>
  <c r="G106" i="13"/>
  <c r="G107" i="13"/>
  <c r="G108" i="13"/>
  <c r="M108" i="13" s="1"/>
  <c r="P108" i="13" s="1"/>
  <c r="G109" i="13"/>
  <c r="G110" i="13"/>
  <c r="V110" i="13" s="1"/>
  <c r="G111" i="13"/>
  <c r="G112" i="13"/>
  <c r="V112" i="13" s="1"/>
  <c r="I12" i="13"/>
  <c r="X12" i="13" s="1"/>
  <c r="H12" i="13"/>
  <c r="G12" i="13"/>
  <c r="N13" i="15" a="1"/>
  <c r="N16" i="15" a="1"/>
  <c r="N19" i="15" a="1"/>
  <c r="N22" i="15" a="1"/>
  <c r="N25" i="15" a="1"/>
  <c r="N28" i="15" a="1"/>
  <c r="O19" i="15" a="1"/>
  <c r="O22" i="15" a="1"/>
  <c r="O28" i="15" a="1"/>
  <c r="O16" i="15" a="1"/>
  <c r="O13" i="15" a="1"/>
  <c r="O25" i="15" a="1"/>
  <c r="N14" i="15" a="1"/>
  <c r="N17" i="15" a="1"/>
  <c r="N20" i="15" a="1"/>
  <c r="N23" i="15" a="1"/>
  <c r="N26" i="15" a="1"/>
  <c r="O14" i="15" a="1"/>
  <c r="O17" i="15" a="1"/>
  <c r="O20" i="15" a="1"/>
  <c r="O23" i="15" a="1"/>
  <c r="O26" i="15" a="1"/>
  <c r="N15" i="15" a="1"/>
  <c r="N18" i="15" a="1"/>
  <c r="N21" i="15" a="1"/>
  <c r="N24" i="15" a="1"/>
  <c r="N27" i="15" a="1"/>
  <c r="O15" i="15" a="1"/>
  <c r="O18" i="15" a="1"/>
  <c r="O21" i="15" a="1"/>
  <c r="O24" i="15" a="1"/>
  <c r="O27" i="15" a="1"/>
  <c r="M14" i="15" a="1"/>
  <c r="M20" i="15" a="1"/>
  <c r="M26" i="15" a="1"/>
  <c r="M15" i="15" a="1"/>
  <c r="M21" i="15" a="1"/>
  <c r="M27" i="15" a="1"/>
  <c r="M16" i="15" a="1"/>
  <c r="M22" i="15" a="1"/>
  <c r="M28" i="15" a="1"/>
  <c r="M17" i="15" a="1"/>
  <c r="M23" i="15" a="1"/>
  <c r="M25" i="15" a="1"/>
  <c r="M18" i="15" a="1"/>
  <c r="M24" i="15" a="1"/>
  <c r="M19" i="15" a="1"/>
  <c r="M13" i="15" a="1"/>
  <c r="I14" i="15" a="1"/>
  <c r="I16" i="15" a="1"/>
  <c r="I18" i="15" a="1"/>
  <c r="I20" i="15" a="1"/>
  <c r="I22" i="15" a="1"/>
  <c r="I24" i="15" a="1"/>
  <c r="I26" i="15" a="1"/>
  <c r="I28" i="15" a="1"/>
  <c r="J23" i="15" a="1"/>
  <c r="J21" i="15" a="1"/>
  <c r="J14" i="15" a="1"/>
  <c r="J16" i="15" a="1"/>
  <c r="J18" i="15" a="1"/>
  <c r="J20" i="15" a="1"/>
  <c r="J22" i="15" a="1"/>
  <c r="J24" i="15" a="1"/>
  <c r="J26" i="15" a="1"/>
  <c r="J28" i="15" a="1"/>
  <c r="J25" i="15" a="1"/>
  <c r="J27" i="15" a="1"/>
  <c r="J19" i="15" a="1"/>
  <c r="I15" i="15" a="1"/>
  <c r="I17" i="15" a="1"/>
  <c r="I19" i="15" a="1"/>
  <c r="I21" i="15" a="1"/>
  <c r="I23" i="15" a="1"/>
  <c r="I25" i="15" a="1"/>
  <c r="I27" i="15" a="1"/>
  <c r="J17" i="15" a="1"/>
  <c r="J15" i="15" a="1"/>
  <c r="I13" i="15" a="1"/>
  <c r="J13" i="15" a="1"/>
  <c r="D13" i="15" a="1"/>
  <c r="C14" i="15" a="1"/>
  <c r="C16" i="15" a="1"/>
  <c r="C18" i="15" a="1"/>
  <c r="C20" i="15" a="1"/>
  <c r="C22" i="15" a="1"/>
  <c r="C24" i="15" a="1"/>
  <c r="C26" i="15" a="1"/>
  <c r="C28" i="15" a="1"/>
  <c r="D14" i="15" a="1"/>
  <c r="D16" i="15" a="1"/>
  <c r="D18" i="15" a="1"/>
  <c r="D20" i="15" a="1"/>
  <c r="D22" i="15" a="1"/>
  <c r="D24" i="15" a="1"/>
  <c r="D26" i="15" a="1"/>
  <c r="D28" i="15" a="1"/>
  <c r="E14" i="15" a="1"/>
  <c r="E16" i="15" a="1"/>
  <c r="E18" i="15" a="1"/>
  <c r="E20" i="15" a="1"/>
  <c r="E22" i="15" a="1"/>
  <c r="E24" i="15" a="1"/>
  <c r="E26" i="15" a="1"/>
  <c r="E28" i="15" a="1"/>
  <c r="C15" i="15" a="1"/>
  <c r="C17" i="15" a="1"/>
  <c r="C19" i="15" a="1"/>
  <c r="C21" i="15" a="1"/>
  <c r="C23" i="15" a="1"/>
  <c r="C25" i="15" a="1"/>
  <c r="C27" i="15" a="1"/>
  <c r="D15" i="15" a="1"/>
  <c r="D17" i="15" a="1"/>
  <c r="D19" i="15" a="1"/>
  <c r="D21" i="15" a="1"/>
  <c r="D23" i="15" a="1"/>
  <c r="D25" i="15" a="1"/>
  <c r="D27" i="15" a="1"/>
  <c r="E15" i="15" a="1"/>
  <c r="E17" i="15" a="1"/>
  <c r="E19" i="15" a="1"/>
  <c r="E21" i="15" a="1"/>
  <c r="E23" i="15" a="1"/>
  <c r="E25" i="15" a="1"/>
  <c r="E27" i="15" a="1"/>
  <c r="E13" i="15" a="1"/>
  <c r="C13" i="15" a="1"/>
  <c r="D10" i="15" a="1"/>
  <c r="C10" i="15" a="1"/>
  <c r="E13" i="7" a="1"/>
  <c r="D10" i="1" a="1"/>
  <c r="C33" i="15" l="1"/>
  <c r="O27" i="15"/>
  <c r="O24" i="15"/>
  <c r="O21" i="15"/>
  <c r="O18" i="15"/>
  <c r="O15" i="15"/>
  <c r="N27" i="15"/>
  <c r="N24" i="15"/>
  <c r="N21" i="15"/>
  <c r="N18" i="15"/>
  <c r="N15" i="15"/>
  <c r="O26" i="15"/>
  <c r="O23" i="15"/>
  <c r="O20" i="15"/>
  <c r="O17" i="15"/>
  <c r="O14" i="15"/>
  <c r="N26" i="15"/>
  <c r="N23" i="15"/>
  <c r="N20" i="15"/>
  <c r="N17" i="15"/>
  <c r="N14" i="15"/>
  <c r="O25" i="15"/>
  <c r="O13" i="15"/>
  <c r="O16" i="15"/>
  <c r="O28" i="15"/>
  <c r="O22" i="15"/>
  <c r="O19" i="15"/>
  <c r="N28" i="15"/>
  <c r="N25" i="15"/>
  <c r="N22" i="15"/>
  <c r="N19" i="15"/>
  <c r="N16" i="15"/>
  <c r="N13" i="15"/>
  <c r="M19" i="15"/>
  <c r="M24" i="15"/>
  <c r="M18" i="15"/>
  <c r="M25" i="15"/>
  <c r="M23" i="15"/>
  <c r="M17" i="15"/>
  <c r="M28" i="15"/>
  <c r="M22" i="15"/>
  <c r="M16" i="15"/>
  <c r="M27" i="15"/>
  <c r="M21" i="15"/>
  <c r="M15" i="15"/>
  <c r="M26" i="15"/>
  <c r="M20" i="15"/>
  <c r="M14" i="15"/>
  <c r="M13" i="15"/>
  <c r="J15" i="15"/>
  <c r="J17" i="15"/>
  <c r="I27" i="15"/>
  <c r="I25" i="15"/>
  <c r="I23" i="15"/>
  <c r="I21" i="15"/>
  <c r="I19" i="15"/>
  <c r="I17" i="15"/>
  <c r="I15" i="15"/>
  <c r="J19" i="15"/>
  <c r="J27" i="15"/>
  <c r="J25" i="15"/>
  <c r="J28" i="15"/>
  <c r="J26" i="15"/>
  <c r="J24" i="15"/>
  <c r="J22" i="15"/>
  <c r="J20" i="15"/>
  <c r="J18" i="15"/>
  <c r="J16" i="15"/>
  <c r="J14" i="15"/>
  <c r="J21" i="15"/>
  <c r="J23" i="15"/>
  <c r="I28" i="15"/>
  <c r="I26" i="15"/>
  <c r="I24" i="15"/>
  <c r="I22" i="15"/>
  <c r="I20" i="15"/>
  <c r="I18" i="15"/>
  <c r="I16" i="15"/>
  <c r="I14" i="15"/>
  <c r="J13" i="15"/>
  <c r="I13" i="15"/>
  <c r="D13" i="15"/>
  <c r="E27" i="15"/>
  <c r="E25" i="15"/>
  <c r="E23" i="15"/>
  <c r="E21" i="15"/>
  <c r="E19" i="15"/>
  <c r="E17" i="15"/>
  <c r="E15" i="15"/>
  <c r="D27" i="15"/>
  <c r="D25" i="15"/>
  <c r="D23" i="15"/>
  <c r="D21" i="15"/>
  <c r="D19" i="15"/>
  <c r="D17" i="15"/>
  <c r="D15" i="15"/>
  <c r="C27" i="15"/>
  <c r="C25" i="15"/>
  <c r="C23" i="15"/>
  <c r="C21" i="15"/>
  <c r="C19" i="15"/>
  <c r="C17" i="15"/>
  <c r="C15" i="15"/>
  <c r="E28" i="15"/>
  <c r="E26" i="15"/>
  <c r="E24" i="15"/>
  <c r="E22" i="15"/>
  <c r="E20" i="15"/>
  <c r="E18" i="15"/>
  <c r="E16" i="15"/>
  <c r="E14" i="15"/>
  <c r="D28" i="15"/>
  <c r="D26" i="15"/>
  <c r="D24" i="15"/>
  <c r="D22" i="15"/>
  <c r="D20" i="15"/>
  <c r="D18" i="15"/>
  <c r="D16" i="15"/>
  <c r="D14" i="15"/>
  <c r="C28" i="15"/>
  <c r="C26" i="15"/>
  <c r="C24" i="15"/>
  <c r="C22" i="15"/>
  <c r="C20" i="15"/>
  <c r="C18" i="15"/>
  <c r="C16" i="15"/>
  <c r="C14" i="15"/>
  <c r="E13" i="15"/>
  <c r="C13" i="15"/>
  <c r="D10" i="15"/>
  <c r="C10" i="15"/>
  <c r="E13" i="7"/>
  <c r="D10" i="1"/>
  <c r="K33" i="15"/>
  <c r="L32" i="15"/>
  <c r="K103" i="14"/>
  <c r="AC103" i="14" s="1"/>
  <c r="L31" i="15"/>
  <c r="D33" i="15"/>
  <c r="T43" i="14"/>
  <c r="N43" i="14"/>
  <c r="Q43" i="14" s="1"/>
  <c r="M12" i="14"/>
  <c r="U109" i="14"/>
  <c r="U97" i="14"/>
  <c r="K94" i="14"/>
  <c r="AF94" i="14" s="1"/>
  <c r="T14" i="14"/>
  <c r="N38" i="14"/>
  <c r="Q38" i="14" s="1"/>
  <c r="N74" i="14"/>
  <c r="Q74" i="14" s="1"/>
  <c r="W12" i="14"/>
  <c r="W111" i="14"/>
  <c r="K99" i="14"/>
  <c r="AF99" i="14" s="1"/>
  <c r="S19" i="14"/>
  <c r="J27" i="14"/>
  <c r="AH27" i="14" s="1"/>
  <c r="S12" i="14"/>
  <c r="V43" i="14"/>
  <c r="N24" i="14"/>
  <c r="Q24" i="14" s="1"/>
  <c r="T92" i="14"/>
  <c r="K24" i="14"/>
  <c r="AF24" i="14" s="1"/>
  <c r="W96" i="14"/>
  <c r="S28" i="14"/>
  <c r="J56" i="14"/>
  <c r="AB56" i="14" s="1"/>
  <c r="N72" i="14"/>
  <c r="Q72" i="14" s="1"/>
  <c r="S16" i="14"/>
  <c r="T28" i="14"/>
  <c r="W56" i="14"/>
  <c r="T72" i="14"/>
  <c r="N76" i="14"/>
  <c r="Q76" i="14" s="1"/>
  <c r="V112" i="14"/>
  <c r="T40" i="14"/>
  <c r="T76" i="14"/>
  <c r="N28" i="14"/>
  <c r="Q28" i="14" s="1"/>
  <c r="T96" i="14"/>
  <c r="W24" i="14"/>
  <c r="S102" i="14"/>
  <c r="K63" i="14"/>
  <c r="AF63" i="14" s="1"/>
  <c r="AA85" i="14"/>
  <c r="U40" i="14"/>
  <c r="K83" i="14"/>
  <c r="AI83" i="14" s="1"/>
  <c r="X76" i="14"/>
  <c r="K101" i="14"/>
  <c r="Z101" i="14" s="1"/>
  <c r="O52" i="14"/>
  <c r="R52" i="14" s="1"/>
  <c r="O56" i="13"/>
  <c r="R56" i="13" s="1"/>
  <c r="U46" i="13"/>
  <c r="X35" i="13"/>
  <c r="O17" i="13"/>
  <c r="R17" i="13" s="1"/>
  <c r="T111" i="13"/>
  <c r="T60" i="13"/>
  <c r="X18" i="13"/>
  <c r="M54" i="13"/>
  <c r="P54" i="13" s="1"/>
  <c r="M96" i="13"/>
  <c r="P96" i="13" s="1"/>
  <c r="S112" i="13"/>
  <c r="U93" i="13"/>
  <c r="U61" i="13"/>
  <c r="V40" i="13"/>
  <c r="M18" i="13"/>
  <c r="P18" i="13" s="1"/>
  <c r="M62" i="13"/>
  <c r="P62" i="13" s="1"/>
  <c r="M100" i="13"/>
  <c r="P100" i="13" s="1"/>
  <c r="S110" i="13"/>
  <c r="T89" i="13"/>
  <c r="T57" i="13"/>
  <c r="X29" i="13"/>
  <c r="M26" i="13"/>
  <c r="P26" i="13" s="1"/>
  <c r="M66" i="13"/>
  <c r="P66" i="13" s="1"/>
  <c r="M102" i="13"/>
  <c r="P102" i="13" s="1"/>
  <c r="X107" i="13"/>
  <c r="S87" i="13"/>
  <c r="X23" i="13"/>
  <c r="N27" i="13"/>
  <c r="Q27" i="13" s="1"/>
  <c r="O66" i="13"/>
  <c r="R66" i="13" s="1"/>
  <c r="N103" i="13"/>
  <c r="Q103" i="13" s="1"/>
  <c r="S107" i="13"/>
  <c r="X82" i="13"/>
  <c r="T54" i="13"/>
  <c r="V23" i="13"/>
  <c r="M30" i="13"/>
  <c r="P30" i="13" s="1"/>
  <c r="M74" i="13"/>
  <c r="P74" i="13" s="1"/>
  <c r="O103" i="13"/>
  <c r="R103" i="13" s="1"/>
  <c r="W105" i="13"/>
  <c r="V71" i="13"/>
  <c r="T51" i="13"/>
  <c r="V19" i="13"/>
  <c r="O37" i="13"/>
  <c r="R37" i="13" s="1"/>
  <c r="M76" i="13"/>
  <c r="P76" i="13" s="1"/>
  <c r="M109" i="13"/>
  <c r="P109" i="13" s="1"/>
  <c r="U71" i="13"/>
  <c r="T48" i="13"/>
  <c r="M38" i="13"/>
  <c r="P38" i="13" s="1"/>
  <c r="M78" i="13"/>
  <c r="P78" i="13" s="1"/>
  <c r="M12" i="13"/>
  <c r="P12" i="13" s="1"/>
  <c r="V102" i="13"/>
  <c r="V47" i="13"/>
  <c r="M86" i="13"/>
  <c r="P86" i="13" s="1"/>
  <c r="S102" i="13"/>
  <c r="W13" i="13"/>
  <c r="V100" i="13"/>
  <c r="U66" i="13"/>
  <c r="O46" i="13"/>
  <c r="R46" i="13" s="1"/>
  <c r="W42" i="13"/>
  <c r="M92" i="13"/>
  <c r="P92" i="13" s="1"/>
  <c r="V98" i="13"/>
  <c r="T63" i="13"/>
  <c r="U41" i="13"/>
  <c r="O27" i="13"/>
  <c r="R27" i="13" s="1"/>
  <c r="O47" i="13"/>
  <c r="R47" i="13" s="1"/>
  <c r="O57" i="13"/>
  <c r="R57" i="13" s="1"/>
  <c r="O67" i="13"/>
  <c r="R67" i="13" s="1"/>
  <c r="O77" i="13"/>
  <c r="R77" i="13" s="1"/>
  <c r="O87" i="13"/>
  <c r="R87" i="13" s="1"/>
  <c r="O96" i="13"/>
  <c r="R96" i="13" s="1"/>
  <c r="O104" i="13"/>
  <c r="R104" i="13" s="1"/>
  <c r="U107" i="13"/>
  <c r="X102" i="13"/>
  <c r="X92" i="13"/>
  <c r="X87" i="13"/>
  <c r="U82" i="13"/>
  <c r="U76" i="13"/>
  <c r="X70" i="13"/>
  <c r="X65" i="13"/>
  <c r="X60" i="13"/>
  <c r="X55" i="13"/>
  <c r="X50" i="13"/>
  <c r="X45" i="13"/>
  <c r="X40" i="13"/>
  <c r="U35" i="13"/>
  <c r="U29" i="13"/>
  <c r="U18" i="13"/>
  <c r="U13" i="13"/>
  <c r="U88" i="13"/>
  <c r="O28" i="13"/>
  <c r="R28" i="13" s="1"/>
  <c r="O48" i="13"/>
  <c r="R48" i="13" s="1"/>
  <c r="O58" i="13"/>
  <c r="R58" i="13" s="1"/>
  <c r="O68" i="13"/>
  <c r="R68" i="13" s="1"/>
  <c r="O97" i="13"/>
  <c r="R97" i="13" s="1"/>
  <c r="O105" i="13"/>
  <c r="R105" i="13" s="1"/>
  <c r="X111" i="13"/>
  <c r="U98" i="13"/>
  <c r="U92" i="13"/>
  <c r="U87" i="13"/>
  <c r="X81" i="13"/>
  <c r="X75" i="13"/>
  <c r="U70" i="13"/>
  <c r="U65" i="13"/>
  <c r="U60" i="13"/>
  <c r="U55" i="13"/>
  <c r="U50" i="13"/>
  <c r="U45" i="13"/>
  <c r="X34" i="13"/>
  <c r="X28" i="13"/>
  <c r="U23" i="13"/>
  <c r="X17" i="13"/>
  <c r="O19" i="13"/>
  <c r="R19" i="13" s="1"/>
  <c r="O38" i="13"/>
  <c r="R38" i="13" s="1"/>
  <c r="O49" i="13"/>
  <c r="R49" i="13" s="1"/>
  <c r="O59" i="13"/>
  <c r="R59" i="13" s="1"/>
  <c r="O69" i="13"/>
  <c r="R69" i="13" s="1"/>
  <c r="O78" i="13"/>
  <c r="R78" i="13" s="1"/>
  <c r="O88" i="13"/>
  <c r="R88" i="13" s="1"/>
  <c r="O106" i="13"/>
  <c r="R106" i="13" s="1"/>
  <c r="U111" i="13"/>
  <c r="X106" i="13"/>
  <c r="U102" i="13"/>
  <c r="X97" i="13"/>
  <c r="X91" i="13"/>
  <c r="U81" i="13"/>
  <c r="U75" i="13"/>
  <c r="X69" i="13"/>
  <c r="X64" i="13"/>
  <c r="X54" i="13"/>
  <c r="X49" i="13"/>
  <c r="X44" i="13"/>
  <c r="U40" i="13"/>
  <c r="U34" i="13"/>
  <c r="U28" i="13"/>
  <c r="X22" i="13"/>
  <c r="O20" i="13"/>
  <c r="R20" i="13" s="1"/>
  <c r="O39" i="13"/>
  <c r="R39" i="13" s="1"/>
  <c r="O60" i="13"/>
  <c r="R60" i="13" s="1"/>
  <c r="O70" i="13"/>
  <c r="R70" i="13" s="1"/>
  <c r="O79" i="13"/>
  <c r="R79" i="13" s="1"/>
  <c r="O89" i="13"/>
  <c r="R89" i="13" s="1"/>
  <c r="O98" i="13"/>
  <c r="R98" i="13" s="1"/>
  <c r="O107" i="13"/>
  <c r="R107" i="13" s="1"/>
  <c r="U106" i="13"/>
  <c r="U97" i="13"/>
  <c r="U91" i="13"/>
  <c r="X86" i="13"/>
  <c r="X80" i="13"/>
  <c r="X74" i="13"/>
  <c r="U69" i="13"/>
  <c r="X59" i="13"/>
  <c r="U54" i="13"/>
  <c r="U49" i="13"/>
  <c r="U44" i="13"/>
  <c r="X39" i="13"/>
  <c r="X33" i="13"/>
  <c r="X27" i="13"/>
  <c r="U22" i="13"/>
  <c r="X16" i="13"/>
  <c r="O12" i="13"/>
  <c r="R12" i="13" s="1"/>
  <c r="O21" i="13"/>
  <c r="R21" i="13" s="1"/>
  <c r="O30" i="13"/>
  <c r="R30" i="13" s="1"/>
  <c r="O50" i="13"/>
  <c r="R50" i="13" s="1"/>
  <c r="O61" i="13"/>
  <c r="R61" i="13" s="1"/>
  <c r="O71" i="13"/>
  <c r="R71" i="13" s="1"/>
  <c r="O80" i="13"/>
  <c r="R80" i="13" s="1"/>
  <c r="O90" i="13"/>
  <c r="R90" i="13" s="1"/>
  <c r="O99" i="13"/>
  <c r="R99" i="13" s="1"/>
  <c r="O108" i="13"/>
  <c r="R108" i="13" s="1"/>
  <c r="X110" i="13"/>
  <c r="X105" i="13"/>
  <c r="X101" i="13"/>
  <c r="X96" i="13"/>
  <c r="U86" i="13"/>
  <c r="U80" i="13"/>
  <c r="U74" i="13"/>
  <c r="X68" i="13"/>
  <c r="U64" i="13"/>
  <c r="U59" i="13"/>
  <c r="X48" i="13"/>
  <c r="X43" i="13"/>
  <c r="U33" i="13"/>
  <c r="X21" i="13"/>
  <c r="O76" i="13"/>
  <c r="R76" i="13" s="1"/>
  <c r="O13" i="13"/>
  <c r="R13" i="13" s="1"/>
  <c r="O22" i="13"/>
  <c r="R22" i="13" s="1"/>
  <c r="O31" i="13"/>
  <c r="R31" i="13" s="1"/>
  <c r="O41" i="13"/>
  <c r="R41" i="13" s="1"/>
  <c r="O51" i="13"/>
  <c r="R51" i="13" s="1"/>
  <c r="O72" i="13"/>
  <c r="R72" i="13" s="1"/>
  <c r="O81" i="13"/>
  <c r="R81" i="13" s="1"/>
  <c r="U110" i="13"/>
  <c r="U101" i="13"/>
  <c r="U96" i="13"/>
  <c r="X90" i="13"/>
  <c r="X85" i="13"/>
  <c r="X79" i="13"/>
  <c r="X73" i="13"/>
  <c r="X63" i="13"/>
  <c r="X58" i="13"/>
  <c r="X53" i="13"/>
  <c r="U48" i="13"/>
  <c r="X38" i="13"/>
  <c r="X32" i="13"/>
  <c r="X26" i="13"/>
  <c r="U21" i="13"/>
  <c r="U16" i="13"/>
  <c r="O23" i="13"/>
  <c r="R23" i="13" s="1"/>
  <c r="O32" i="13"/>
  <c r="R32" i="13" s="1"/>
  <c r="O52" i="13"/>
  <c r="R52" i="13" s="1"/>
  <c r="O62" i="13"/>
  <c r="R62" i="13" s="1"/>
  <c r="O73" i="13"/>
  <c r="R73" i="13" s="1"/>
  <c r="O82" i="13"/>
  <c r="R82" i="13" s="1"/>
  <c r="O100" i="13"/>
  <c r="R100" i="13" s="1"/>
  <c r="O109" i="13"/>
  <c r="R109" i="13" s="1"/>
  <c r="U105" i="13"/>
  <c r="X100" i="13"/>
  <c r="X95" i="13"/>
  <c r="U85" i="13"/>
  <c r="U68" i="13"/>
  <c r="U63" i="13"/>
  <c r="U58" i="13"/>
  <c r="U53" i="13"/>
  <c r="U43" i="13"/>
  <c r="U32" i="13"/>
  <c r="U26" i="13"/>
  <c r="X20" i="13"/>
  <c r="X15" i="13"/>
  <c r="O14" i="13"/>
  <c r="R14" i="13" s="1"/>
  <c r="O24" i="13"/>
  <c r="R24" i="13" s="1"/>
  <c r="O33" i="13"/>
  <c r="R33" i="13" s="1"/>
  <c r="O42" i="13"/>
  <c r="R42" i="13" s="1"/>
  <c r="O83" i="13"/>
  <c r="R83" i="13" s="1"/>
  <c r="O92" i="13"/>
  <c r="R92" i="13" s="1"/>
  <c r="U12" i="13"/>
  <c r="X109" i="13"/>
  <c r="X104" i="13"/>
  <c r="U95" i="13"/>
  <c r="X89" i="13"/>
  <c r="X84" i="13"/>
  <c r="X78" i="13"/>
  <c r="X72" i="13"/>
  <c r="X67" i="13"/>
  <c r="X57" i="13"/>
  <c r="X52" i="13"/>
  <c r="X47" i="13"/>
  <c r="X42" i="13"/>
  <c r="X37" i="13"/>
  <c r="X31" i="13"/>
  <c r="X25" i="13"/>
  <c r="U20" i="13"/>
  <c r="U15" i="13"/>
  <c r="U112" i="13"/>
  <c r="O25" i="13"/>
  <c r="R25" i="13" s="1"/>
  <c r="O34" i="13"/>
  <c r="R34" i="13" s="1"/>
  <c r="O84" i="13"/>
  <c r="R84" i="13" s="1"/>
  <c r="O93" i="13"/>
  <c r="R93" i="13" s="1"/>
  <c r="U104" i="13"/>
  <c r="X94" i="13"/>
  <c r="X62" i="13"/>
  <c r="U57" i="13"/>
  <c r="X19" i="13"/>
  <c r="X14" i="13"/>
  <c r="O44" i="13"/>
  <c r="R44" i="13" s="1"/>
  <c r="O94" i="13"/>
  <c r="R94" i="13" s="1"/>
  <c r="O112" i="13"/>
  <c r="R112" i="13" s="1"/>
  <c r="X108" i="13"/>
  <c r="X103" i="13"/>
  <c r="X99" i="13"/>
  <c r="X83" i="13"/>
  <c r="X77" i="13"/>
  <c r="X51" i="13"/>
  <c r="X36" i="13"/>
  <c r="X30" i="13"/>
  <c r="X24" i="13"/>
  <c r="O36" i="13"/>
  <c r="R36" i="13" s="1"/>
  <c r="X56" i="13"/>
  <c r="N21" i="13"/>
  <c r="Q21" i="13" s="1"/>
  <c r="N32" i="13"/>
  <c r="Q32" i="13" s="1"/>
  <c r="N43" i="13"/>
  <c r="Q43" i="13" s="1"/>
  <c r="N49" i="13"/>
  <c r="Q49" i="13" s="1"/>
  <c r="N54" i="13"/>
  <c r="Q54" i="13" s="1"/>
  <c r="N60" i="13"/>
  <c r="Q60" i="13" s="1"/>
  <c r="N71" i="13"/>
  <c r="Q71" i="13" s="1"/>
  <c r="N76" i="13"/>
  <c r="Q76" i="13" s="1"/>
  <c r="N87" i="13"/>
  <c r="Q87" i="13" s="1"/>
  <c r="N92" i="13"/>
  <c r="Q92" i="13" s="1"/>
  <c r="T12" i="13"/>
  <c r="W108" i="13"/>
  <c r="W100" i="13"/>
  <c r="T98" i="13"/>
  <c r="T95" i="13"/>
  <c r="T92" i="13"/>
  <c r="W86" i="13"/>
  <c r="W83" i="13"/>
  <c r="W80" i="13"/>
  <c r="W77" i="13"/>
  <c r="W74" i="13"/>
  <c r="W71" i="13"/>
  <c r="T66" i="13"/>
  <c r="W45" i="13"/>
  <c r="T40" i="13"/>
  <c r="T37" i="13"/>
  <c r="T34" i="13"/>
  <c r="T31" i="13"/>
  <c r="T28" i="13"/>
  <c r="T25" i="13"/>
  <c r="W16" i="13"/>
  <c r="N22" i="13"/>
  <c r="Q22" i="13" s="1"/>
  <c r="N33" i="13"/>
  <c r="Q33" i="13" s="1"/>
  <c r="N44" i="13"/>
  <c r="Q44" i="13" s="1"/>
  <c r="N55" i="13"/>
  <c r="Q55" i="13" s="1"/>
  <c r="N61" i="13"/>
  <c r="Q61" i="13" s="1"/>
  <c r="N66" i="13"/>
  <c r="Q66" i="13" s="1"/>
  <c r="N72" i="13"/>
  <c r="Q72" i="13" s="1"/>
  <c r="N77" i="13"/>
  <c r="Q77" i="13" s="1"/>
  <c r="N93" i="13"/>
  <c r="Q93" i="13" s="1"/>
  <c r="N109" i="13"/>
  <c r="Q109" i="13" s="1"/>
  <c r="W12" i="13"/>
  <c r="T108" i="13"/>
  <c r="W102" i="13"/>
  <c r="W97" i="13"/>
  <c r="W94" i="13"/>
  <c r="W91" i="13"/>
  <c r="T86" i="13"/>
  <c r="T83" i="13"/>
  <c r="T80" i="13"/>
  <c r="T77" i="13"/>
  <c r="T74" i="13"/>
  <c r="W65" i="13"/>
  <c r="T45" i="13"/>
  <c r="W39" i="13"/>
  <c r="W36" i="13"/>
  <c r="W33" i="13"/>
  <c r="W30" i="13"/>
  <c r="W27" i="13"/>
  <c r="W24" i="13"/>
  <c r="T19" i="13"/>
  <c r="N17" i="13"/>
  <c r="Q17" i="13" s="1"/>
  <c r="N28" i="13"/>
  <c r="Q28" i="13" s="1"/>
  <c r="N39" i="13"/>
  <c r="Q39" i="13" s="1"/>
  <c r="N50" i="13"/>
  <c r="Q50" i="13" s="1"/>
  <c r="N83" i="13"/>
  <c r="Q83" i="13" s="1"/>
  <c r="N88" i="13"/>
  <c r="Q88" i="13" s="1"/>
  <c r="N99" i="13"/>
  <c r="Q99" i="13" s="1"/>
  <c r="N104" i="13"/>
  <c r="Q104" i="13" s="1"/>
  <c r="W110" i="13"/>
  <c r="T105" i="13"/>
  <c r="T100" i="13"/>
  <c r="W88" i="13"/>
  <c r="T71" i="13"/>
  <c r="T68" i="13"/>
  <c r="W62" i="13"/>
  <c r="W59" i="13"/>
  <c r="W56" i="13"/>
  <c r="W53" i="13"/>
  <c r="W50" i="13"/>
  <c r="W47" i="13"/>
  <c r="T42" i="13"/>
  <c r="W21" i="13"/>
  <c r="T16" i="13"/>
  <c r="T13" i="13"/>
  <c r="N12" i="13"/>
  <c r="Q12" i="13" s="1"/>
  <c r="N23" i="13"/>
  <c r="Q23" i="13" s="1"/>
  <c r="N34" i="13"/>
  <c r="Q34" i="13" s="1"/>
  <c r="N45" i="13"/>
  <c r="Q45" i="13" s="1"/>
  <c r="N56" i="13"/>
  <c r="Q56" i="13" s="1"/>
  <c r="N67" i="13"/>
  <c r="Q67" i="13" s="1"/>
  <c r="N73" i="13"/>
  <c r="Q73" i="13" s="1"/>
  <c r="N94" i="13"/>
  <c r="Q94" i="13" s="1"/>
  <c r="N110" i="13"/>
  <c r="Q110" i="13" s="1"/>
  <c r="W107" i="13"/>
  <c r="T97" i="13"/>
  <c r="T94" i="13"/>
  <c r="T91" i="13"/>
  <c r="W85" i="13"/>
  <c r="W82" i="13"/>
  <c r="W79" i="13"/>
  <c r="W76" i="13"/>
  <c r="W73" i="13"/>
  <c r="T65" i="13"/>
  <c r="W44" i="13"/>
  <c r="T39" i="13"/>
  <c r="T36" i="13"/>
  <c r="T33" i="13"/>
  <c r="T30" i="13"/>
  <c r="T27" i="13"/>
  <c r="T24" i="13"/>
  <c r="W18" i="13"/>
  <c r="N29" i="13"/>
  <c r="Q29" i="13" s="1"/>
  <c r="N40" i="13"/>
  <c r="Q40" i="13" s="1"/>
  <c r="N51" i="13"/>
  <c r="Q51" i="13" s="1"/>
  <c r="N62" i="13"/>
  <c r="Q62" i="13" s="1"/>
  <c r="N78" i="13"/>
  <c r="Q78" i="13" s="1"/>
  <c r="N84" i="13"/>
  <c r="Q84" i="13" s="1"/>
  <c r="N89" i="13"/>
  <c r="Q89" i="13" s="1"/>
  <c r="N105" i="13"/>
  <c r="Q105" i="13" s="1"/>
  <c r="W112" i="13"/>
  <c r="T110" i="13"/>
  <c r="W104" i="13"/>
  <c r="T102" i="13"/>
  <c r="W99" i="13"/>
  <c r="T88" i="13"/>
  <c r="W70" i="13"/>
  <c r="W67" i="13"/>
  <c r="T62" i="13"/>
  <c r="T59" i="13"/>
  <c r="T56" i="13"/>
  <c r="T53" i="13"/>
  <c r="T50" i="13"/>
  <c r="W41" i="13"/>
  <c r="T21" i="13"/>
  <c r="W15" i="13"/>
  <c r="N18" i="13"/>
  <c r="Q18" i="13" s="1"/>
  <c r="N35" i="13"/>
  <c r="Q35" i="13" s="1"/>
  <c r="N46" i="13"/>
  <c r="Q46" i="13" s="1"/>
  <c r="N57" i="13"/>
  <c r="Q57" i="13" s="1"/>
  <c r="N68" i="13"/>
  <c r="Q68" i="13" s="1"/>
  <c r="N95" i="13"/>
  <c r="Q95" i="13" s="1"/>
  <c r="N100" i="13"/>
  <c r="Q100" i="13" s="1"/>
  <c r="N111" i="13"/>
  <c r="Q111" i="13" s="1"/>
  <c r="T107" i="13"/>
  <c r="W96" i="13"/>
  <c r="W93" i="13"/>
  <c r="T85" i="13"/>
  <c r="T82" i="13"/>
  <c r="T79" i="13"/>
  <c r="T76" i="13"/>
  <c r="W64" i="13"/>
  <c r="T47" i="13"/>
  <c r="T44" i="13"/>
  <c r="W38" i="13"/>
  <c r="W35" i="13"/>
  <c r="W32" i="13"/>
  <c r="W29" i="13"/>
  <c r="W26" i="13"/>
  <c r="W23" i="13"/>
  <c r="N41" i="13"/>
  <c r="Q41" i="13" s="1"/>
  <c r="N52" i="13"/>
  <c r="Q52" i="13" s="1"/>
  <c r="N63" i="13"/>
  <c r="Q63" i="13" s="1"/>
  <c r="N74" i="13"/>
  <c r="Q74" i="13" s="1"/>
  <c r="N90" i="13"/>
  <c r="Q90" i="13" s="1"/>
  <c r="N106" i="13"/>
  <c r="Q106" i="13" s="1"/>
  <c r="T104" i="13"/>
  <c r="T99" i="13"/>
  <c r="W90" i="13"/>
  <c r="W87" i="13"/>
  <c r="T70" i="13"/>
  <c r="W61" i="13"/>
  <c r="W58" i="13"/>
  <c r="W55" i="13"/>
  <c r="W52" i="13"/>
  <c r="W49" i="13"/>
  <c r="W20" i="13"/>
  <c r="T15" i="13"/>
  <c r="T22" i="13"/>
  <c r="N19" i="13"/>
  <c r="Q19" i="13" s="1"/>
  <c r="N25" i="13"/>
  <c r="Q25" i="13" s="1"/>
  <c r="N58" i="13"/>
  <c r="Q58" i="13" s="1"/>
  <c r="N69" i="13"/>
  <c r="Q69" i="13" s="1"/>
  <c r="N101" i="13"/>
  <c r="Q101" i="13" s="1"/>
  <c r="N112" i="13"/>
  <c r="Q112" i="13" s="1"/>
  <c r="W109" i="13"/>
  <c r="W101" i="13"/>
  <c r="T96" i="13"/>
  <c r="T93" i="13"/>
  <c r="W84" i="13"/>
  <c r="W81" i="13"/>
  <c r="W78" i="13"/>
  <c r="W75" i="13"/>
  <c r="W72" i="13"/>
  <c r="W46" i="13"/>
  <c r="W43" i="13"/>
  <c r="T38" i="13"/>
  <c r="T32" i="13"/>
  <c r="T26" i="13"/>
  <c r="W17" i="13"/>
  <c r="N14" i="13"/>
  <c r="Q14" i="13" s="1"/>
  <c r="N64" i="13"/>
  <c r="Q64" i="13" s="1"/>
  <c r="N75" i="13"/>
  <c r="Q75" i="13" s="1"/>
  <c r="N80" i="13"/>
  <c r="Q80" i="13" s="1"/>
  <c r="W106" i="13"/>
  <c r="W103" i="13"/>
  <c r="W98" i="13"/>
  <c r="W69" i="13"/>
  <c r="T20" i="13"/>
  <c r="W14" i="13"/>
  <c r="N20" i="13"/>
  <c r="Q20" i="13" s="1"/>
  <c r="N31" i="13"/>
  <c r="Q31" i="13" s="1"/>
  <c r="N37" i="13"/>
  <c r="Q37" i="13" s="1"/>
  <c r="N48" i="13"/>
  <c r="Q48" i="13" s="1"/>
  <c r="N86" i="13"/>
  <c r="Q86" i="13" s="1"/>
  <c r="W92" i="13"/>
  <c r="T81" i="13"/>
  <c r="V93" i="13"/>
  <c r="M105" i="13"/>
  <c r="P105" i="13" s="1"/>
  <c r="V34" i="13"/>
  <c r="S56" i="13"/>
  <c r="S44" i="13"/>
  <c r="S20" i="13"/>
  <c r="S109" i="13"/>
  <c r="S96" i="13"/>
  <c r="V84" i="13"/>
  <c r="V12" i="13"/>
  <c r="S12" i="13"/>
  <c r="V103" i="13"/>
  <c r="M103" i="13"/>
  <c r="P103" i="13" s="1"/>
  <c r="V91" i="13"/>
  <c r="M91" i="13"/>
  <c r="P91" i="13" s="1"/>
  <c r="S79" i="13"/>
  <c r="M79" i="13"/>
  <c r="P79" i="13" s="1"/>
  <c r="S67" i="13"/>
  <c r="S55" i="13"/>
  <c r="S43" i="13"/>
  <c r="S31" i="13"/>
  <c r="S19" i="13"/>
  <c r="M19" i="13"/>
  <c r="P19" i="13" s="1"/>
  <c r="M31" i="13"/>
  <c r="P31" i="13" s="1"/>
  <c r="M35" i="13"/>
  <c r="P35" i="13" s="1"/>
  <c r="M43" i="13"/>
  <c r="P43" i="13" s="1"/>
  <c r="M55" i="13"/>
  <c r="P55" i="13" s="1"/>
  <c r="M59" i="13"/>
  <c r="P59" i="13" s="1"/>
  <c r="M67" i="13"/>
  <c r="P67" i="13" s="1"/>
  <c r="M84" i="13"/>
  <c r="P84" i="13" s="1"/>
  <c r="M97" i="13"/>
  <c r="P97" i="13" s="1"/>
  <c r="M110" i="13"/>
  <c r="P110" i="13" s="1"/>
  <c r="S111" i="13"/>
  <c r="V104" i="13"/>
  <c r="S98" i="13"/>
  <c r="V79" i="13"/>
  <c r="V55" i="13"/>
  <c r="V31" i="13"/>
  <c r="S68" i="13"/>
  <c r="S32" i="13"/>
  <c r="M101" i="13"/>
  <c r="P101" i="13" s="1"/>
  <c r="S90" i="13"/>
  <c r="S78" i="13"/>
  <c r="V78" i="13"/>
  <c r="S66" i="13"/>
  <c r="V66" i="13"/>
  <c r="S54" i="13"/>
  <c r="V54" i="13"/>
  <c r="S42" i="13"/>
  <c r="V42" i="13"/>
  <c r="S30" i="13"/>
  <c r="V30" i="13"/>
  <c r="S18" i="13"/>
  <c r="V18" i="13"/>
  <c r="M93" i="13"/>
  <c r="P93" i="13" s="1"/>
  <c r="M106" i="13"/>
  <c r="P106" i="13" s="1"/>
  <c r="V106" i="13"/>
  <c r="V86" i="13"/>
  <c r="V68" i="13"/>
  <c r="V44" i="13"/>
  <c r="V20" i="13"/>
  <c r="V81" i="13"/>
  <c r="S94" i="13"/>
  <c r="S77" i="13"/>
  <c r="V77" i="13"/>
  <c r="V49" i="13"/>
  <c r="V25" i="13"/>
  <c r="V89" i="13"/>
  <c r="M89" i="13"/>
  <c r="P89" i="13" s="1"/>
  <c r="V108" i="13"/>
  <c r="V73" i="13"/>
  <c r="S88" i="13"/>
  <c r="S76" i="13"/>
  <c r="S64" i="13"/>
  <c r="S52" i="13"/>
  <c r="S40" i="13"/>
  <c r="S28" i="13"/>
  <c r="S16" i="13"/>
  <c r="M16" i="13"/>
  <c r="P16" i="13" s="1"/>
  <c r="M20" i="13"/>
  <c r="P20" i="13" s="1"/>
  <c r="M24" i="13"/>
  <c r="P24" i="13" s="1"/>
  <c r="M28" i="13"/>
  <c r="P28" i="13" s="1"/>
  <c r="M32" i="13"/>
  <c r="P32" i="13" s="1"/>
  <c r="M36" i="13"/>
  <c r="P36" i="13" s="1"/>
  <c r="M40" i="13"/>
  <c r="P40" i="13" s="1"/>
  <c r="M44" i="13"/>
  <c r="P44" i="13" s="1"/>
  <c r="M48" i="13"/>
  <c r="P48" i="13" s="1"/>
  <c r="M52" i="13"/>
  <c r="P52" i="13" s="1"/>
  <c r="M56" i="13"/>
  <c r="P56" i="13" s="1"/>
  <c r="M60" i="13"/>
  <c r="P60" i="13" s="1"/>
  <c r="M64" i="13"/>
  <c r="P64" i="13" s="1"/>
  <c r="M68" i="13"/>
  <c r="P68" i="13" s="1"/>
  <c r="M72" i="13"/>
  <c r="P72" i="13" s="1"/>
  <c r="M85" i="13"/>
  <c r="P85" i="13" s="1"/>
  <c r="S93" i="13"/>
  <c r="V88" i="13"/>
  <c r="S33" i="13"/>
  <c r="V33" i="13"/>
  <c r="S80" i="13"/>
  <c r="S41" i="13"/>
  <c r="V41" i="13"/>
  <c r="V87" i="13"/>
  <c r="M87" i="13"/>
  <c r="P87" i="13" s="1"/>
  <c r="S63" i="13"/>
  <c r="V63" i="13"/>
  <c r="S27" i="13"/>
  <c r="V27" i="13"/>
  <c r="M94" i="13"/>
  <c r="P94" i="13" s="1"/>
  <c r="S106" i="13"/>
  <c r="V70" i="13"/>
  <c r="V46" i="13"/>
  <c r="V22" i="13"/>
  <c r="S57" i="13"/>
  <c r="V57" i="13"/>
  <c r="S65" i="13"/>
  <c r="V65" i="13"/>
  <c r="V111" i="13"/>
  <c r="M111" i="13"/>
  <c r="P111" i="13" s="1"/>
  <c r="S75" i="13"/>
  <c r="M75" i="13"/>
  <c r="P75" i="13" s="1"/>
  <c r="V75" i="13"/>
  <c r="S51" i="13"/>
  <c r="V51" i="13"/>
  <c r="S39" i="13"/>
  <c r="V39" i="13"/>
  <c r="S15" i="13"/>
  <c r="V15" i="13"/>
  <c r="M81" i="13"/>
  <c r="P81" i="13" s="1"/>
  <c r="S81" i="13"/>
  <c r="S86" i="13"/>
  <c r="S74" i="13"/>
  <c r="V74" i="13"/>
  <c r="S62" i="13"/>
  <c r="V62" i="13"/>
  <c r="S50" i="13"/>
  <c r="V50" i="13"/>
  <c r="S38" i="13"/>
  <c r="V38" i="13"/>
  <c r="S26" i="13"/>
  <c r="V26" i="13"/>
  <c r="S14" i="13"/>
  <c r="V14" i="13"/>
  <c r="M77" i="13"/>
  <c r="P77" i="13" s="1"/>
  <c r="M90" i="13"/>
  <c r="P90" i="13" s="1"/>
  <c r="M112" i="13"/>
  <c r="P112" i="13" s="1"/>
  <c r="S108" i="13"/>
  <c r="V90" i="13"/>
  <c r="S21" i="13"/>
  <c r="V21" i="13"/>
  <c r="S29" i="13"/>
  <c r="V29" i="13"/>
  <c r="V99" i="13"/>
  <c r="M99" i="13"/>
  <c r="P99" i="13" s="1"/>
  <c r="V109" i="13"/>
  <c r="V97" i="13"/>
  <c r="V85" i="13"/>
  <c r="S73" i="13"/>
  <c r="S61" i="13"/>
  <c r="S49" i="13"/>
  <c r="S37" i="13"/>
  <c r="S25" i="13"/>
  <c r="S13" i="13"/>
  <c r="M13" i="13"/>
  <c r="P13" i="13" s="1"/>
  <c r="M21" i="13"/>
  <c r="P21" i="13" s="1"/>
  <c r="M25" i="13"/>
  <c r="P25" i="13" s="1"/>
  <c r="M29" i="13"/>
  <c r="P29" i="13" s="1"/>
  <c r="M33" i="13"/>
  <c r="P33" i="13" s="1"/>
  <c r="M37" i="13"/>
  <c r="P37" i="13" s="1"/>
  <c r="M41" i="13"/>
  <c r="P41" i="13" s="1"/>
  <c r="M49" i="13"/>
  <c r="P49" i="13" s="1"/>
  <c r="M57" i="13"/>
  <c r="P57" i="13" s="1"/>
  <c r="M61" i="13"/>
  <c r="P61" i="13" s="1"/>
  <c r="M65" i="13"/>
  <c r="P65" i="13" s="1"/>
  <c r="M73" i="13"/>
  <c r="P73" i="13" s="1"/>
  <c r="S99" i="13"/>
  <c r="V105" i="13"/>
  <c r="S45" i="13"/>
  <c r="V45" i="13"/>
  <c r="S53" i="13"/>
  <c r="V53" i="13"/>
  <c r="S84" i="13"/>
  <c r="S60" i="13"/>
  <c r="V60" i="13"/>
  <c r="S24" i="13"/>
  <c r="V24" i="13"/>
  <c r="M104" i="13"/>
  <c r="P104" i="13" s="1"/>
  <c r="V80" i="13"/>
  <c r="V56" i="13"/>
  <c r="V32" i="13"/>
  <c r="S69" i="13"/>
  <c r="V69" i="13"/>
  <c r="V101" i="13"/>
  <c r="S17" i="13"/>
  <c r="V17" i="13"/>
  <c r="S72" i="13"/>
  <c r="V72" i="13"/>
  <c r="S48" i="13"/>
  <c r="V48" i="13"/>
  <c r="S36" i="13"/>
  <c r="V36" i="13"/>
  <c r="V107" i="13"/>
  <c r="M107" i="13"/>
  <c r="P107" i="13" s="1"/>
  <c r="V95" i="13"/>
  <c r="M95" i="13"/>
  <c r="P95" i="13" s="1"/>
  <c r="V83" i="13"/>
  <c r="M83" i="13"/>
  <c r="P83" i="13" s="1"/>
  <c r="S71" i="13"/>
  <c r="S59" i="13"/>
  <c r="S47" i="13"/>
  <c r="S35" i="13"/>
  <c r="S23" i="13"/>
  <c r="V96" i="13"/>
  <c r="S85" i="13"/>
  <c r="V61" i="13"/>
  <c r="V37" i="13"/>
  <c r="V13" i="13"/>
  <c r="S82" i="13"/>
  <c r="S70" i="13"/>
  <c r="S58" i="13"/>
  <c r="S46" i="13"/>
  <c r="S34" i="13"/>
  <c r="S22" i="13"/>
  <c r="M22" i="13"/>
  <c r="P22" i="13" s="1"/>
  <c r="M34" i="13"/>
  <c r="P34" i="13" s="1"/>
  <c r="M46" i="13"/>
  <c r="P46" i="13" s="1"/>
  <c r="M58" i="13"/>
  <c r="P58" i="13" s="1"/>
  <c r="M70" i="13"/>
  <c r="P70" i="13" s="1"/>
  <c r="S105" i="13"/>
  <c r="S92" i="13"/>
  <c r="V82" i="13"/>
  <c r="L18" i="14"/>
  <c r="AA18" i="14" s="1"/>
  <c r="X24" i="14"/>
  <c r="L81" i="14"/>
  <c r="AA81" i="14" s="1"/>
  <c r="O32" i="14"/>
  <c r="R32" i="14" s="1"/>
  <c r="L93" i="14"/>
  <c r="AJ93" i="14" s="1"/>
  <c r="L21" i="14"/>
  <c r="AD21" i="14" s="1"/>
  <c r="L30" i="14"/>
  <c r="AD30" i="14" s="1"/>
  <c r="O93" i="14"/>
  <c r="R93" i="14" s="1"/>
  <c r="X14" i="14"/>
  <c r="L19" i="14"/>
  <c r="AD19" i="14" s="1"/>
  <c r="X49" i="14"/>
  <c r="O111" i="14"/>
  <c r="R111" i="14" s="1"/>
  <c r="L14" i="14"/>
  <c r="AJ14" i="14" s="1"/>
  <c r="L38" i="14"/>
  <c r="AG38" i="14" s="1"/>
  <c r="L17" i="14"/>
  <c r="AD17" i="14" s="1"/>
  <c r="O30" i="14"/>
  <c r="R30" i="14" s="1"/>
  <c r="U41" i="14"/>
  <c r="L77" i="14"/>
  <c r="AJ77" i="14" s="1"/>
  <c r="O105" i="14"/>
  <c r="R105" i="14" s="1"/>
  <c r="AA97" i="14"/>
  <c r="X30" i="14"/>
  <c r="L33" i="14"/>
  <c r="AG33" i="14" s="1"/>
  <c r="L36" i="14"/>
  <c r="AG36" i="14" s="1"/>
  <c r="L13" i="14"/>
  <c r="AD13" i="14" s="1"/>
  <c r="O103" i="14"/>
  <c r="R103" i="14" s="1"/>
  <c r="O24" i="14"/>
  <c r="R24" i="14" s="1"/>
  <c r="AA89" i="14"/>
  <c r="AC25" i="14"/>
  <c r="AI25" i="14"/>
  <c r="AC71" i="14"/>
  <c r="Z105" i="14"/>
  <c r="Z109" i="14"/>
  <c r="Z111" i="14"/>
  <c r="N58" i="14"/>
  <c r="Q58" i="14" s="1"/>
  <c r="K80" i="14"/>
  <c r="Z80" i="14" s="1"/>
  <c r="K91" i="14"/>
  <c r="AI91" i="14" s="1"/>
  <c r="K93" i="14"/>
  <c r="AF93" i="14" s="1"/>
  <c r="K98" i="14"/>
  <c r="AC98" i="14" s="1"/>
  <c r="K107" i="14"/>
  <c r="AI107" i="14" s="1"/>
  <c r="Z12" i="14"/>
  <c r="N16" i="14"/>
  <c r="Q16" i="14" s="1"/>
  <c r="K18" i="14"/>
  <c r="AI18" i="14" s="1"/>
  <c r="K32" i="14"/>
  <c r="AF32" i="14" s="1"/>
  <c r="K34" i="14"/>
  <c r="Z34" i="14" s="1"/>
  <c r="K37" i="14"/>
  <c r="AF37" i="14" s="1"/>
  <c r="T63" i="14"/>
  <c r="K65" i="14"/>
  <c r="AI65" i="14" s="1"/>
  <c r="T71" i="14"/>
  <c r="K82" i="14"/>
  <c r="Z82" i="14" s="1"/>
  <c r="K87" i="14"/>
  <c r="W105" i="14"/>
  <c r="W107" i="14"/>
  <c r="W109" i="14"/>
  <c r="AC73" i="14"/>
  <c r="K26" i="14"/>
  <c r="Z26" i="14" s="1"/>
  <c r="AC27" i="14"/>
  <c r="N32" i="14"/>
  <c r="Q32" i="14" s="1"/>
  <c r="N34" i="14"/>
  <c r="Q34" i="14" s="1"/>
  <c r="W37" i="14"/>
  <c r="K49" i="14"/>
  <c r="AF49" i="14" s="1"/>
  <c r="T58" i="14"/>
  <c r="N65" i="14"/>
  <c r="Q65" i="14" s="1"/>
  <c r="W71" i="14"/>
  <c r="N73" i="14"/>
  <c r="Q73" i="14" s="1"/>
  <c r="AC85" i="14"/>
  <c r="K102" i="14"/>
  <c r="Z102" i="14" s="1"/>
  <c r="AC105" i="14"/>
  <c r="AC109" i="14"/>
  <c r="AC111" i="14"/>
  <c r="K16" i="14"/>
  <c r="AI16" i="14" s="1"/>
  <c r="Z14" i="14"/>
  <c r="W16" i="14"/>
  <c r="N18" i="14"/>
  <c r="Q18" i="14" s="1"/>
  <c r="N26" i="14"/>
  <c r="Q26" i="14" s="1"/>
  <c r="AF27" i="14"/>
  <c r="W30" i="14"/>
  <c r="K36" i="14"/>
  <c r="AI36" i="14" s="1"/>
  <c r="N54" i="14"/>
  <c r="Q54" i="14" s="1"/>
  <c r="K57" i="14"/>
  <c r="AI57" i="14" s="1"/>
  <c r="W58" i="14"/>
  <c r="T65" i="14"/>
  <c r="AI71" i="14"/>
  <c r="W93" i="14"/>
  <c r="K97" i="14"/>
  <c r="AF97" i="14" s="1"/>
  <c r="W98" i="14"/>
  <c r="K100" i="14"/>
  <c r="AF100" i="14" s="1"/>
  <c r="W18" i="14"/>
  <c r="K23" i="14"/>
  <c r="Z23" i="14" s="1"/>
  <c r="W34" i="14"/>
  <c r="K39" i="14"/>
  <c r="AC39" i="14" s="1"/>
  <c r="N42" i="14"/>
  <c r="Q42" i="14" s="1"/>
  <c r="T49" i="14"/>
  <c r="N57" i="14"/>
  <c r="Q57" i="14" s="1"/>
  <c r="W65" i="14"/>
  <c r="K68" i="14"/>
  <c r="Z68" i="14" s="1"/>
  <c r="K75" i="14"/>
  <c r="AC75" i="14" s="1"/>
  <c r="W82" i="14"/>
  <c r="K84" i="14"/>
  <c r="AF84" i="14" s="1"/>
  <c r="K95" i="14"/>
  <c r="AI95" i="14" s="1"/>
  <c r="W100" i="14"/>
  <c r="W102" i="14"/>
  <c r="K20" i="14"/>
  <c r="Z20" i="14" s="1"/>
  <c r="W26" i="14"/>
  <c r="T29" i="14"/>
  <c r="Z30" i="14"/>
  <c r="W32" i="14"/>
  <c r="N36" i="14"/>
  <c r="Q36" i="14" s="1"/>
  <c r="W39" i="14"/>
  <c r="K41" i="14"/>
  <c r="AC41" i="14" s="1"/>
  <c r="N52" i="14"/>
  <c r="Q52" i="14" s="1"/>
  <c r="T57" i="14"/>
  <c r="N68" i="14"/>
  <c r="Q68" i="14" s="1"/>
  <c r="N70" i="14"/>
  <c r="Q70" i="14" s="1"/>
  <c r="T73" i="14"/>
  <c r="W84" i="14"/>
  <c r="K90" i="14"/>
  <c r="W97" i="14"/>
  <c r="N20" i="14"/>
  <c r="Q20" i="14" s="1"/>
  <c r="T70" i="14"/>
  <c r="W73" i="14"/>
  <c r="N77" i="14"/>
  <c r="Q77" i="14" s="1"/>
  <c r="K81" i="14"/>
  <c r="AC81" i="14" s="1"/>
  <c r="K86" i="14"/>
  <c r="Z86" i="14" s="1"/>
  <c r="K88" i="14"/>
  <c r="AI88" i="14" s="1"/>
  <c r="W90" i="14"/>
  <c r="K104" i="14"/>
  <c r="AI104" i="14" s="1"/>
  <c r="K106" i="14"/>
  <c r="AI106" i="14" s="1"/>
  <c r="K108" i="14"/>
  <c r="AI108" i="14" s="1"/>
  <c r="K110" i="14"/>
  <c r="AI110" i="14" s="1"/>
  <c r="K112" i="14"/>
  <c r="AI112" i="14" s="1"/>
  <c r="AC80" i="14"/>
  <c r="T20" i="14"/>
  <c r="W36" i="14"/>
  <c r="K38" i="14"/>
  <c r="K64" i="14"/>
  <c r="T68" i="14"/>
  <c r="W70" i="14"/>
  <c r="K72" i="14"/>
  <c r="AI72" i="14" s="1"/>
  <c r="N79" i="14"/>
  <c r="Q79" i="14" s="1"/>
  <c r="W86" i="14"/>
  <c r="W88" i="14"/>
  <c r="K92" i="14"/>
  <c r="AF92" i="14" s="1"/>
  <c r="W104" i="14"/>
  <c r="W108" i="14"/>
  <c r="W110" i="14"/>
  <c r="K28" i="14"/>
  <c r="K43" i="14"/>
  <c r="AC43" i="14" s="1"/>
  <c r="N45" i="14"/>
  <c r="Q45" i="14" s="1"/>
  <c r="K59" i="14"/>
  <c r="AI59" i="14" s="1"/>
  <c r="T64" i="14"/>
  <c r="W68" i="14"/>
  <c r="K76" i="14"/>
  <c r="AC76" i="14" s="1"/>
  <c r="Z103" i="14"/>
  <c r="W106" i="14"/>
  <c r="W112" i="14"/>
  <c r="J38" i="14"/>
  <c r="AH38" i="14" s="1"/>
  <c r="M51" i="14"/>
  <c r="P51" i="14" s="1"/>
  <c r="V56" i="14"/>
  <c r="M64" i="14"/>
  <c r="P64" i="14" s="1"/>
  <c r="J32" i="14"/>
  <c r="AH32" i="14" s="1"/>
  <c r="S47" i="14"/>
  <c r="M90" i="14"/>
  <c r="P90" i="14" s="1"/>
  <c r="J20" i="14"/>
  <c r="AE20" i="14" s="1"/>
  <c r="V47" i="14"/>
  <c r="J34" i="14"/>
  <c r="AH34" i="14" s="1"/>
  <c r="S58" i="14"/>
  <c r="S63" i="14"/>
  <c r="M20" i="14"/>
  <c r="P20" i="14" s="1"/>
  <c r="M104" i="14"/>
  <c r="P104" i="14" s="1"/>
  <c r="M34" i="14"/>
  <c r="P34" i="14" s="1"/>
  <c r="M108" i="14"/>
  <c r="P108" i="14" s="1"/>
  <c r="V32" i="14"/>
  <c r="M110" i="14"/>
  <c r="P110" i="14" s="1"/>
  <c r="J16" i="14"/>
  <c r="AH16" i="14" s="1"/>
  <c r="M28" i="14"/>
  <c r="P28" i="14" s="1"/>
  <c r="AG31" i="14"/>
  <c r="AJ31" i="14"/>
  <c r="AG39" i="14"/>
  <c r="AJ39" i="14"/>
  <c r="X31" i="14"/>
  <c r="O36" i="14"/>
  <c r="R36" i="14" s="1"/>
  <c r="L37" i="14"/>
  <c r="AJ37" i="14" s="1"/>
  <c r="O38" i="14"/>
  <c r="R38" i="14" s="1"/>
  <c r="O45" i="14"/>
  <c r="R45" i="14" s="1"/>
  <c r="L47" i="14"/>
  <c r="AD47" i="14" s="1"/>
  <c r="L57" i="14"/>
  <c r="AG57" i="14" s="1"/>
  <c r="O87" i="14"/>
  <c r="R87" i="14" s="1"/>
  <c r="L105" i="14"/>
  <c r="AD105" i="14" s="1"/>
  <c r="L111" i="14"/>
  <c r="AD111" i="14" s="1"/>
  <c r="O12" i="14"/>
  <c r="R12" i="14" s="1"/>
  <c r="O16" i="14"/>
  <c r="R16" i="14" s="1"/>
  <c r="L26" i="14"/>
  <c r="AA26" i="14" s="1"/>
  <c r="L29" i="14"/>
  <c r="AG29" i="14" s="1"/>
  <c r="X32" i="14"/>
  <c r="L35" i="14"/>
  <c r="AG35" i="14" s="1"/>
  <c r="O72" i="14"/>
  <c r="R72" i="14" s="1"/>
  <c r="X87" i="14"/>
  <c r="O89" i="14"/>
  <c r="R89" i="14" s="1"/>
  <c r="O99" i="14"/>
  <c r="R99" i="14" s="1"/>
  <c r="L22" i="14"/>
  <c r="AG22" i="14" s="1"/>
  <c r="O57" i="14"/>
  <c r="R57" i="14" s="1"/>
  <c r="L71" i="14"/>
  <c r="AJ71" i="14" s="1"/>
  <c r="U75" i="14"/>
  <c r="L95" i="14"/>
  <c r="AD95" i="14" s="1"/>
  <c r="L101" i="14"/>
  <c r="AD101" i="14" s="1"/>
  <c r="X105" i="14"/>
  <c r="X111" i="14"/>
  <c r="L28" i="14"/>
  <c r="AJ28" i="14" s="1"/>
  <c r="AD83" i="14"/>
  <c r="O26" i="14"/>
  <c r="R26" i="14" s="1"/>
  <c r="O28" i="14"/>
  <c r="R28" i="14" s="1"/>
  <c r="O34" i="14"/>
  <c r="R34" i="14" s="1"/>
  <c r="X36" i="14"/>
  <c r="X38" i="14"/>
  <c r="O83" i="14"/>
  <c r="R83" i="14" s="1"/>
  <c r="AD85" i="14"/>
  <c r="X89" i="14"/>
  <c r="O95" i="14"/>
  <c r="R95" i="14" s="1"/>
  <c r="X99" i="14"/>
  <c r="O101" i="14"/>
  <c r="R101" i="14" s="1"/>
  <c r="L107" i="14"/>
  <c r="AD107" i="14" s="1"/>
  <c r="L12" i="14"/>
  <c r="AJ12" i="14" s="1"/>
  <c r="AA103" i="14"/>
  <c r="L15" i="14"/>
  <c r="AD15" i="14" s="1"/>
  <c r="O22" i="14"/>
  <c r="R22" i="14" s="1"/>
  <c r="L41" i="14"/>
  <c r="AJ41" i="14" s="1"/>
  <c r="U57" i="14"/>
  <c r="AA99" i="14"/>
  <c r="O107" i="14"/>
  <c r="R107" i="14" s="1"/>
  <c r="U65" i="14"/>
  <c r="X12" i="14"/>
  <c r="X16" i="14"/>
  <c r="O20" i="14"/>
  <c r="R20" i="14" s="1"/>
  <c r="O68" i="14"/>
  <c r="R68" i="14" s="1"/>
  <c r="U71" i="14"/>
  <c r="X83" i="14"/>
  <c r="X95" i="14"/>
  <c r="X101" i="14"/>
  <c r="L34" i="14"/>
  <c r="AJ34" i="14" s="1"/>
  <c r="L24" i="14"/>
  <c r="AD24" i="14" s="1"/>
  <c r="L32" i="14"/>
  <c r="AG32" i="14" s="1"/>
  <c r="O46" i="14"/>
  <c r="R46" i="14" s="1"/>
  <c r="O61" i="14"/>
  <c r="R61" i="14" s="1"/>
  <c r="O66" i="14"/>
  <c r="R66" i="14" s="1"/>
  <c r="O74" i="14"/>
  <c r="R74" i="14" s="1"/>
  <c r="AA83" i="14"/>
  <c r="O85" i="14"/>
  <c r="R85" i="14" s="1"/>
  <c r="L91" i="14"/>
  <c r="O97" i="14"/>
  <c r="R97" i="14" s="1"/>
  <c r="X107" i="14"/>
  <c r="L16" i="14"/>
  <c r="AJ16" i="14" s="1"/>
  <c r="X39" i="14"/>
  <c r="L20" i="14"/>
  <c r="AA20" i="14" s="1"/>
  <c r="O14" i="14"/>
  <c r="R14" i="14" s="1"/>
  <c r="O18" i="14"/>
  <c r="R18" i="14" s="1"/>
  <c r="X22" i="14"/>
  <c r="X26" i="14"/>
  <c r="X28" i="14"/>
  <c r="X34" i="14"/>
  <c r="O70" i="14"/>
  <c r="R70" i="14" s="1"/>
  <c r="O91" i="14"/>
  <c r="R91" i="14" s="1"/>
  <c r="L109" i="14"/>
  <c r="AD109" i="14" s="1"/>
  <c r="O50" i="14"/>
  <c r="R50" i="14" s="1"/>
  <c r="AA17" i="14"/>
  <c r="L87" i="14"/>
  <c r="AJ87" i="14" s="1"/>
  <c r="AD89" i="14"/>
  <c r="X109" i="14"/>
  <c r="M13" i="14"/>
  <c r="P13" i="14" s="1"/>
  <c r="V14" i="14"/>
  <c r="J18" i="14"/>
  <c r="AH18" i="14" s="1"/>
  <c r="V22" i="14"/>
  <c r="V24" i="14"/>
  <c r="Y38" i="14"/>
  <c r="S46" i="14"/>
  <c r="S59" i="14"/>
  <c r="S79" i="14"/>
  <c r="V26" i="14"/>
  <c r="M30" i="14"/>
  <c r="P30" i="14" s="1"/>
  <c r="M36" i="14"/>
  <c r="P36" i="14" s="1"/>
  <c r="M42" i="14"/>
  <c r="P42" i="14" s="1"/>
  <c r="S43" i="14"/>
  <c r="J48" i="14"/>
  <c r="Y48" i="14" s="1"/>
  <c r="M68" i="14"/>
  <c r="P68" i="14" s="1"/>
  <c r="M94" i="14"/>
  <c r="P94" i="14" s="1"/>
  <c r="V27" i="14"/>
  <c r="M32" i="14"/>
  <c r="P32" i="14" s="1"/>
  <c r="J24" i="14"/>
  <c r="AE24" i="14" s="1"/>
  <c r="M38" i="14"/>
  <c r="P38" i="14" s="1"/>
  <c r="S42" i="14"/>
  <c r="Y42" i="14"/>
  <c r="J14" i="14"/>
  <c r="AH14" i="14" s="1"/>
  <c r="M17" i="14"/>
  <c r="P17" i="14" s="1"/>
  <c r="V18" i="14"/>
  <c r="J26" i="14"/>
  <c r="AE26" i="14" s="1"/>
  <c r="V28" i="14"/>
  <c r="V34" i="14"/>
  <c r="J60" i="14"/>
  <c r="Y60" i="14" s="1"/>
  <c r="J22" i="14"/>
  <c r="AE22" i="14" s="1"/>
  <c r="V20" i="14"/>
  <c r="M22" i="14"/>
  <c r="P22" i="14" s="1"/>
  <c r="J23" i="14"/>
  <c r="AH23" i="14" s="1"/>
  <c r="M24" i="14"/>
  <c r="P24" i="14" s="1"/>
  <c r="V30" i="14"/>
  <c r="V36" i="14"/>
  <c r="S51" i="14"/>
  <c r="M60" i="14"/>
  <c r="P60" i="14" s="1"/>
  <c r="S21" i="14"/>
  <c r="J53" i="14"/>
  <c r="AB53" i="14" s="1"/>
  <c r="V60" i="14"/>
  <c r="M67" i="14"/>
  <c r="P67" i="14" s="1"/>
  <c r="M86" i="14"/>
  <c r="P86" i="14" s="1"/>
  <c r="M106" i="14"/>
  <c r="P106" i="14" s="1"/>
  <c r="J12" i="14"/>
  <c r="AH12" i="14" s="1"/>
  <c r="M15" i="14"/>
  <c r="P15" i="14" s="1"/>
  <c r="J25" i="14"/>
  <c r="Y25" i="14" s="1"/>
  <c r="M26" i="14"/>
  <c r="P26" i="14" s="1"/>
  <c r="Y28" i="14"/>
  <c r="V38" i="14"/>
  <c r="J43" i="14"/>
  <c r="AE43" i="14" s="1"/>
  <c r="S53" i="14"/>
  <c r="J58" i="14"/>
  <c r="AB58" i="14" s="1"/>
  <c r="J30" i="14"/>
  <c r="AB30" i="14" s="1"/>
  <c r="Y32" i="14"/>
  <c r="J36" i="14"/>
  <c r="Y36" i="14" s="1"/>
  <c r="J49" i="14"/>
  <c r="AB49" i="14" s="1"/>
  <c r="P12" i="14"/>
  <c r="S13" i="14"/>
  <c r="M14" i="14"/>
  <c r="P14" i="14" s="1"/>
  <c r="S15" i="14"/>
  <c r="M16" i="14"/>
  <c r="P16" i="14" s="1"/>
  <c r="S17" i="14"/>
  <c r="M18" i="14"/>
  <c r="P18" i="14" s="1"/>
  <c r="M19" i="14"/>
  <c r="P19" i="14" s="1"/>
  <c r="L23" i="14"/>
  <c r="AD23" i="14" s="1"/>
  <c r="L25" i="14"/>
  <c r="AA25" i="14" s="1"/>
  <c r="L27" i="14"/>
  <c r="AA27" i="14" s="1"/>
  <c r="AE27" i="14"/>
  <c r="AC30" i="14"/>
  <c r="K33" i="14"/>
  <c r="Z33" i="14" s="1"/>
  <c r="M39" i="14"/>
  <c r="P39" i="14" s="1"/>
  <c r="V39" i="14"/>
  <c r="J39" i="14"/>
  <c r="Y39" i="14" s="1"/>
  <c r="L43" i="14"/>
  <c r="AA43" i="14" s="1"/>
  <c r="K62" i="14"/>
  <c r="Z62" i="14" s="1"/>
  <c r="W62" i="14"/>
  <c r="T62" i="14"/>
  <c r="N62" i="14"/>
  <c r="Q62" i="14" s="1"/>
  <c r="U13" i="14"/>
  <c r="AA14" i="14"/>
  <c r="U15" i="14"/>
  <c r="AG15" i="14"/>
  <c r="U17" i="14"/>
  <c r="AG17" i="14"/>
  <c r="O19" i="14"/>
  <c r="R19" i="14" s="1"/>
  <c r="W19" i="14"/>
  <c r="AC22" i="14"/>
  <c r="AC24" i="14"/>
  <c r="AF25" i="14"/>
  <c r="N29" i="14"/>
  <c r="Q29" i="14" s="1"/>
  <c r="N35" i="14"/>
  <c r="Q35" i="14" s="1"/>
  <c r="M37" i="14"/>
  <c r="P37" i="14" s="1"/>
  <c r="V37" i="14"/>
  <c r="J37" i="14"/>
  <c r="AB37" i="14" s="1"/>
  <c r="J40" i="14"/>
  <c r="Y40" i="14" s="1"/>
  <c r="V40" i="14"/>
  <c r="S40" i="14"/>
  <c r="X90" i="14"/>
  <c r="L90" i="14"/>
  <c r="AD90" i="14" s="1"/>
  <c r="O90" i="14"/>
  <c r="R90" i="14" s="1"/>
  <c r="U90" i="14"/>
  <c r="T13" i="14"/>
  <c r="J13" i="14"/>
  <c r="J15" i="14"/>
  <c r="J17" i="14"/>
  <c r="AB18" i="14"/>
  <c r="J19" i="14"/>
  <c r="X19" i="14"/>
  <c r="T21" i="14"/>
  <c r="AI30" i="14"/>
  <c r="AE32" i="14"/>
  <c r="AB32" i="14"/>
  <c r="J41" i="14"/>
  <c r="V41" i="14"/>
  <c r="S41" i="14"/>
  <c r="M41" i="14"/>
  <c r="P41" i="14" s="1"/>
  <c r="X54" i="14"/>
  <c r="L54" i="14"/>
  <c r="AD54" i="14" s="1"/>
  <c r="U54" i="14"/>
  <c r="W50" i="14"/>
  <c r="K50" i="14"/>
  <c r="Z50" i="14" s="1"/>
  <c r="N50" i="14"/>
  <c r="Q50" i="14" s="1"/>
  <c r="T50" i="14"/>
  <c r="AC12" i="14"/>
  <c r="K13" i="14"/>
  <c r="Z13" i="14" s="1"/>
  <c r="W13" i="14"/>
  <c r="AC14" i="14"/>
  <c r="K15" i="14"/>
  <c r="AC15" i="14" s="1"/>
  <c r="W15" i="14"/>
  <c r="K17" i="14"/>
  <c r="AC17" i="14" s="1"/>
  <c r="W17" i="14"/>
  <c r="K19" i="14"/>
  <c r="Z19" i="14" s="1"/>
  <c r="M21" i="14"/>
  <c r="P21" i="14" s="1"/>
  <c r="K29" i="14"/>
  <c r="AC32" i="14"/>
  <c r="K35" i="14"/>
  <c r="T47" i="14"/>
  <c r="N47" i="14"/>
  <c r="Q47" i="14" s="1"/>
  <c r="K47" i="14"/>
  <c r="W47" i="14"/>
  <c r="AF87" i="14"/>
  <c r="AC87" i="14"/>
  <c r="AI87" i="14"/>
  <c r="M31" i="14"/>
  <c r="P31" i="14" s="1"/>
  <c r="V31" i="14"/>
  <c r="J31" i="14"/>
  <c r="AB31" i="14" s="1"/>
  <c r="N19" i="14"/>
  <c r="Q19" i="14" s="1"/>
  <c r="O21" i="14"/>
  <c r="R21" i="14" s="1"/>
  <c r="W21" i="14"/>
  <c r="N31" i="14"/>
  <c r="Q31" i="14" s="1"/>
  <c r="T33" i="14"/>
  <c r="M52" i="14"/>
  <c r="P52" i="14" s="1"/>
  <c r="J52" i="14"/>
  <c r="AB52" i="14" s="1"/>
  <c r="S52" i="14"/>
  <c r="X53" i="14"/>
  <c r="L53" i="14"/>
  <c r="U53" i="14"/>
  <c r="U59" i="14"/>
  <c r="O59" i="14"/>
  <c r="R59" i="14" s="1"/>
  <c r="L59" i="14"/>
  <c r="AD59" i="14" s="1"/>
  <c r="V61" i="14"/>
  <c r="J61" i="14"/>
  <c r="AB61" i="14" s="1"/>
  <c r="S61" i="14"/>
  <c r="M61" i="14"/>
  <c r="P61" i="14" s="1"/>
  <c r="T15" i="14"/>
  <c r="M29" i="14"/>
  <c r="P29" i="14" s="1"/>
  <c r="V29" i="14"/>
  <c r="J29" i="14"/>
  <c r="AF12" i="14"/>
  <c r="N13" i="14"/>
  <c r="Q13" i="14" s="1"/>
  <c r="AF14" i="14"/>
  <c r="N15" i="14"/>
  <c r="Q15" i="14" s="1"/>
  <c r="N17" i="14"/>
  <c r="Q17" i="14" s="1"/>
  <c r="J21" i="14"/>
  <c r="X21" i="14"/>
  <c r="M23" i="14"/>
  <c r="P23" i="14" s="1"/>
  <c r="V23" i="14"/>
  <c r="M25" i="14"/>
  <c r="P25" i="14" s="1"/>
  <c r="V25" i="14"/>
  <c r="Y27" i="14"/>
  <c r="M27" i="14"/>
  <c r="P27" i="14" s="1"/>
  <c r="AE28" i="14"/>
  <c r="AB28" i="14"/>
  <c r="AA31" i="14"/>
  <c r="AD31" i="14"/>
  <c r="AI32" i="14"/>
  <c r="S39" i="14"/>
  <c r="AE44" i="14"/>
  <c r="W46" i="14"/>
  <c r="K46" i="14"/>
  <c r="AC46" i="14" s="1"/>
  <c r="T46" i="14"/>
  <c r="AJ17" i="14"/>
  <c r="AI22" i="14"/>
  <c r="O13" i="14"/>
  <c r="R13" i="14" s="1"/>
  <c r="O15" i="14"/>
  <c r="R15" i="14" s="1"/>
  <c r="O17" i="14"/>
  <c r="R17" i="14" s="1"/>
  <c r="K21" i="14"/>
  <c r="N23" i="14"/>
  <c r="Q23" i="14" s="1"/>
  <c r="W23" i="14"/>
  <c r="Z25" i="14"/>
  <c r="N25" i="14"/>
  <c r="Q25" i="14" s="1"/>
  <c r="W25" i="14"/>
  <c r="Z27" i="14"/>
  <c r="N27" i="14"/>
  <c r="Q27" i="14" s="1"/>
  <c r="K31" i="14"/>
  <c r="AC31" i="14" s="1"/>
  <c r="X42" i="14"/>
  <c r="L42" i="14"/>
  <c r="AD42" i="14" s="1"/>
  <c r="U42" i="14"/>
  <c r="O42" i="14"/>
  <c r="R42" i="14" s="1"/>
  <c r="V45" i="14"/>
  <c r="S45" i="14"/>
  <c r="M45" i="14"/>
  <c r="P45" i="14" s="1"/>
  <c r="Y45" i="14"/>
  <c r="O53" i="14"/>
  <c r="R53" i="14" s="1"/>
  <c r="M55" i="14"/>
  <c r="P55" i="14" s="1"/>
  <c r="S55" i="14"/>
  <c r="J55" i="14"/>
  <c r="Y55" i="14" s="1"/>
  <c r="V55" i="14"/>
  <c r="M35" i="14"/>
  <c r="P35" i="14" s="1"/>
  <c r="V35" i="14"/>
  <c r="J35" i="14"/>
  <c r="Y35" i="14" s="1"/>
  <c r="O23" i="14"/>
  <c r="R23" i="14" s="1"/>
  <c r="X23" i="14"/>
  <c r="O25" i="14"/>
  <c r="R25" i="14" s="1"/>
  <c r="X25" i="14"/>
  <c r="O27" i="14"/>
  <c r="R27" i="14" s="1"/>
  <c r="U27" i="14"/>
  <c r="AB27" i="14"/>
  <c r="S29" i="14"/>
  <c r="M33" i="14"/>
  <c r="P33" i="14" s="1"/>
  <c r="V33" i="14"/>
  <c r="J33" i="14"/>
  <c r="S35" i="14"/>
  <c r="S37" i="14"/>
  <c r="AH42" i="14"/>
  <c r="AE42" i="14"/>
  <c r="U43" i="14"/>
  <c r="O43" i="14"/>
  <c r="R43" i="14" s="1"/>
  <c r="N33" i="14"/>
  <c r="Q33" i="14" s="1"/>
  <c r="V44" i="14"/>
  <c r="S44" i="14"/>
  <c r="AB44" i="14"/>
  <c r="M44" i="14"/>
  <c r="P44" i="14" s="1"/>
  <c r="Y44" i="14"/>
  <c r="N51" i="14"/>
  <c r="Q51" i="14" s="1"/>
  <c r="K51" i="14"/>
  <c r="W51" i="14"/>
  <c r="T51" i="14"/>
  <c r="O69" i="14"/>
  <c r="R69" i="14" s="1"/>
  <c r="L69" i="14"/>
  <c r="X69" i="14"/>
  <c r="U69" i="14"/>
  <c r="Z22" i="14"/>
  <c r="Z24" i="14"/>
  <c r="AH45" i="14"/>
  <c r="AE45" i="14"/>
  <c r="X44" i="14"/>
  <c r="L44" i="14"/>
  <c r="W45" i="14"/>
  <c r="S48" i="14"/>
  <c r="S49" i="14"/>
  <c r="O51" i="14"/>
  <c r="R51" i="14" s="1"/>
  <c r="V57" i="14"/>
  <c r="J57" i="14"/>
  <c r="S57" i="14"/>
  <c r="X60" i="14"/>
  <c r="L60" i="14"/>
  <c r="AD60" i="14" s="1"/>
  <c r="U60" i="14"/>
  <c r="O60" i="14"/>
  <c r="R60" i="14" s="1"/>
  <c r="L61" i="14"/>
  <c r="AA61" i="14" s="1"/>
  <c r="T66" i="14"/>
  <c r="N66" i="14"/>
  <c r="Q66" i="14" s="1"/>
  <c r="K66" i="14"/>
  <c r="AC66" i="14" s="1"/>
  <c r="K67" i="14"/>
  <c r="Z67" i="14" s="1"/>
  <c r="K69" i="14"/>
  <c r="AC69" i="14" s="1"/>
  <c r="W69" i="14"/>
  <c r="T69" i="14"/>
  <c r="O73" i="14"/>
  <c r="R73" i="14" s="1"/>
  <c r="X73" i="14"/>
  <c r="T37" i="14"/>
  <c r="T39" i="14"/>
  <c r="K45" i="14"/>
  <c r="Z45" i="14" s="1"/>
  <c r="X46" i="14"/>
  <c r="L46" i="14"/>
  <c r="AD46" i="14" s="1"/>
  <c r="J54" i="14"/>
  <c r="L73" i="14"/>
  <c r="AA73" i="14" s="1"/>
  <c r="AI74" i="14"/>
  <c r="AF74" i="14"/>
  <c r="U29" i="14"/>
  <c r="U31" i="14"/>
  <c r="U33" i="14"/>
  <c r="U35" i="14"/>
  <c r="U37" i="14"/>
  <c r="AD39" i="14"/>
  <c r="U39" i="14"/>
  <c r="N44" i="14"/>
  <c r="Q44" i="14" s="1"/>
  <c r="L45" i="14"/>
  <c r="AA45" i="14" s="1"/>
  <c r="J46" i="14"/>
  <c r="J47" i="14"/>
  <c r="X47" i="14"/>
  <c r="W48" i="14"/>
  <c r="K48" i="14"/>
  <c r="AC48" i="14" s="1"/>
  <c r="V48" i="14"/>
  <c r="V49" i="14"/>
  <c r="V53" i="14"/>
  <c r="M54" i="14"/>
  <c r="P54" i="14" s="1"/>
  <c r="O56" i="14"/>
  <c r="R56" i="14" s="1"/>
  <c r="U61" i="14"/>
  <c r="X82" i="14"/>
  <c r="L82" i="14"/>
  <c r="AD82" i="14" s="1"/>
  <c r="O82" i="14"/>
  <c r="R82" i="14" s="1"/>
  <c r="U82" i="14"/>
  <c r="Z89" i="14"/>
  <c r="O44" i="14"/>
  <c r="R44" i="14" s="1"/>
  <c r="X48" i="14"/>
  <c r="L48" i="14"/>
  <c r="AD48" i="14" s="1"/>
  <c r="N53" i="14"/>
  <c r="Q53" i="14" s="1"/>
  <c r="W53" i="14"/>
  <c r="W61" i="14"/>
  <c r="N78" i="14"/>
  <c r="Q78" i="14" s="1"/>
  <c r="AF89" i="14"/>
  <c r="AI89" i="14"/>
  <c r="AC89" i="14"/>
  <c r="X50" i="14"/>
  <c r="L50" i="14"/>
  <c r="AD50" i="14" s="1"/>
  <c r="N55" i="14"/>
  <c r="Q55" i="14" s="1"/>
  <c r="W55" i="14"/>
  <c r="K55" i="14"/>
  <c r="Z55" i="14" s="1"/>
  <c r="X58" i="14"/>
  <c r="L58" i="14"/>
  <c r="AD58" i="14" s="1"/>
  <c r="U58" i="14"/>
  <c r="O58" i="14"/>
  <c r="R58" i="14" s="1"/>
  <c r="W40" i="14"/>
  <c r="K40" i="14"/>
  <c r="N48" i="14"/>
  <c r="Q48" i="14" s="1"/>
  <c r="L49" i="14"/>
  <c r="AD49" i="14" s="1"/>
  <c r="J50" i="14"/>
  <c r="J51" i="14"/>
  <c r="X51" i="14"/>
  <c r="X52" i="14"/>
  <c r="L52" i="14"/>
  <c r="K53" i="14"/>
  <c r="AC53" i="14" s="1"/>
  <c r="S54" i="14"/>
  <c r="X55" i="14"/>
  <c r="L55" i="14"/>
  <c r="AD55" i="14" s="1"/>
  <c r="AF70" i="14"/>
  <c r="U73" i="14"/>
  <c r="K78" i="14"/>
  <c r="AC78" i="14" s="1"/>
  <c r="N37" i="14"/>
  <c r="Q37" i="14" s="1"/>
  <c r="N39" i="14"/>
  <c r="Q39" i="14" s="1"/>
  <c r="X40" i="14"/>
  <c r="L40" i="14"/>
  <c r="O47" i="14"/>
  <c r="R47" i="14" s="1"/>
  <c r="O48" i="14"/>
  <c r="R48" i="14" s="1"/>
  <c r="M49" i="14"/>
  <c r="P49" i="14" s="1"/>
  <c r="M50" i="14"/>
  <c r="P50" i="14" s="1"/>
  <c r="AI58" i="14"/>
  <c r="AF58" i="14"/>
  <c r="AC58" i="14"/>
  <c r="AI70" i="14"/>
  <c r="AC74" i="14"/>
  <c r="O29" i="14"/>
  <c r="R29" i="14" s="1"/>
  <c r="O31" i="14"/>
  <c r="R31" i="14" s="1"/>
  <c r="O33" i="14"/>
  <c r="R33" i="14" s="1"/>
  <c r="O35" i="14"/>
  <c r="R35" i="14" s="1"/>
  <c r="O37" i="14"/>
  <c r="R37" i="14" s="1"/>
  <c r="O39" i="14"/>
  <c r="R39" i="14" s="1"/>
  <c r="AA39" i="14"/>
  <c r="X41" i="14"/>
  <c r="W42" i="14"/>
  <c r="K42" i="14"/>
  <c r="N49" i="14"/>
  <c r="Q49" i="14" s="1"/>
  <c r="L51" i="14"/>
  <c r="AD51" i="14" s="1"/>
  <c r="O55" i="14"/>
  <c r="R55" i="14" s="1"/>
  <c r="T59" i="14"/>
  <c r="N59" i="14"/>
  <c r="Q59" i="14" s="1"/>
  <c r="S62" i="14"/>
  <c r="M62" i="14"/>
  <c r="P62" i="14" s="1"/>
  <c r="J62" i="14"/>
  <c r="AB62" i="14" s="1"/>
  <c r="V63" i="14"/>
  <c r="J63" i="14"/>
  <c r="Y63" i="14" s="1"/>
  <c r="W67" i="14"/>
  <c r="T67" i="14"/>
  <c r="N67" i="14"/>
  <c r="Q67" i="14" s="1"/>
  <c r="W44" i="14"/>
  <c r="K44" i="14"/>
  <c r="AC44" i="14" s="1"/>
  <c r="X56" i="14"/>
  <c r="L56" i="14"/>
  <c r="AA56" i="14" s="1"/>
  <c r="T60" i="14"/>
  <c r="N60" i="14"/>
  <c r="Q60" i="14" s="1"/>
  <c r="K60" i="14"/>
  <c r="AC60" i="14" s="1"/>
  <c r="T61" i="14"/>
  <c r="N61" i="14"/>
  <c r="Q61" i="14" s="1"/>
  <c r="K61" i="14"/>
  <c r="V65" i="14"/>
  <c r="J65" i="14"/>
  <c r="Y65" i="14" s="1"/>
  <c r="S65" i="14"/>
  <c r="V66" i="14"/>
  <c r="J66" i="14"/>
  <c r="S66" i="14"/>
  <c r="M66" i="14"/>
  <c r="P66" i="14" s="1"/>
  <c r="AD67" i="14"/>
  <c r="U67" i="14"/>
  <c r="O67" i="14"/>
  <c r="R67" i="14" s="1"/>
  <c r="L67" i="14"/>
  <c r="AA67" i="14" s="1"/>
  <c r="T75" i="14"/>
  <c r="N75" i="14"/>
  <c r="Q75" i="14" s="1"/>
  <c r="T78" i="14"/>
  <c r="X62" i="14"/>
  <c r="L62" i="14"/>
  <c r="W63" i="14"/>
  <c r="V64" i="14"/>
  <c r="X66" i="14"/>
  <c r="L66" i="14"/>
  <c r="AD66" i="14" s="1"/>
  <c r="Z70" i="14"/>
  <c r="AI73" i="14"/>
  <c r="W74" i="14"/>
  <c r="L75" i="14"/>
  <c r="AA75" i="14" s="1"/>
  <c r="K79" i="14"/>
  <c r="Z79" i="14" s="1"/>
  <c r="T79" i="14"/>
  <c r="X80" i="14"/>
  <c r="L80" i="14"/>
  <c r="AA80" i="14" s="1"/>
  <c r="O80" i="14"/>
  <c r="R80" i="14" s="1"/>
  <c r="U80" i="14"/>
  <c r="AI85" i="14"/>
  <c r="V88" i="14"/>
  <c r="J88" i="14"/>
  <c r="AB88" i="14" s="1"/>
  <c r="S88" i="14"/>
  <c r="M88" i="14"/>
  <c r="P88" i="14" s="1"/>
  <c r="V95" i="14"/>
  <c r="J95" i="14"/>
  <c r="Y95" i="14" s="1"/>
  <c r="M95" i="14"/>
  <c r="P95" i="14" s="1"/>
  <c r="S95" i="14"/>
  <c r="X63" i="14"/>
  <c r="W64" i="14"/>
  <c r="U79" i="14"/>
  <c r="O79" i="14"/>
  <c r="R79" i="14" s="1"/>
  <c r="AF80" i="14"/>
  <c r="AI80" i="14"/>
  <c r="V87" i="14"/>
  <c r="J87" i="14"/>
  <c r="Y87" i="14" s="1"/>
  <c r="M87" i="14"/>
  <c r="P87" i="14" s="1"/>
  <c r="S87" i="14"/>
  <c r="AC100" i="14"/>
  <c r="S56" i="14"/>
  <c r="X64" i="14"/>
  <c r="L64" i="14"/>
  <c r="Z74" i="14"/>
  <c r="L79" i="14"/>
  <c r="AD79" i="14" s="1"/>
  <c r="AF96" i="14"/>
  <c r="AI96" i="14"/>
  <c r="AC96" i="14"/>
  <c r="T52" i="14"/>
  <c r="T54" i="14"/>
  <c r="T56" i="14"/>
  <c r="L63" i="14"/>
  <c r="AD63" i="14" s="1"/>
  <c r="Z63" i="14"/>
  <c r="J64" i="14"/>
  <c r="Z64" i="14"/>
  <c r="L65" i="14"/>
  <c r="AA65" i="14" s="1"/>
  <c r="V69" i="14"/>
  <c r="J69" i="14"/>
  <c r="AB69" i="14" s="1"/>
  <c r="Z85" i="14"/>
  <c r="X86" i="14"/>
  <c r="L86" i="14"/>
  <c r="AD86" i="14" s="1"/>
  <c r="O86" i="14"/>
  <c r="R86" i="14" s="1"/>
  <c r="U86" i="14"/>
  <c r="X94" i="14"/>
  <c r="L94" i="14"/>
  <c r="AA94" i="14" s="1"/>
  <c r="O94" i="14"/>
  <c r="R94" i="14" s="1"/>
  <c r="U94" i="14"/>
  <c r="K52" i="14"/>
  <c r="K54" i="14"/>
  <c r="K56" i="14"/>
  <c r="O63" i="14"/>
  <c r="R63" i="14" s="1"/>
  <c r="O65" i="14"/>
  <c r="R65" i="14" s="1"/>
  <c r="V71" i="14"/>
  <c r="J71" i="14"/>
  <c r="AB71" i="14" s="1"/>
  <c r="M71" i="14"/>
  <c r="P71" i="14" s="1"/>
  <c r="Z71" i="14"/>
  <c r="X79" i="14"/>
  <c r="V84" i="14"/>
  <c r="J84" i="14"/>
  <c r="Y84" i="14" s="1"/>
  <c r="S84" i="14"/>
  <c r="M84" i="14"/>
  <c r="P84" i="14" s="1"/>
  <c r="V92" i="14"/>
  <c r="J92" i="14"/>
  <c r="AB92" i="14" s="1"/>
  <c r="S92" i="14"/>
  <c r="M92" i="14"/>
  <c r="P92" i="14" s="1"/>
  <c r="X57" i="14"/>
  <c r="V58" i="14"/>
  <c r="V59" i="14"/>
  <c r="J59" i="14"/>
  <c r="O64" i="14"/>
  <c r="R64" i="14" s="1"/>
  <c r="V68" i="14"/>
  <c r="J68" i="14"/>
  <c r="Y68" i="14" s="1"/>
  <c r="V73" i="14"/>
  <c r="J73" i="14"/>
  <c r="Y73" i="14" s="1"/>
  <c r="M73" i="14"/>
  <c r="P73" i="14" s="1"/>
  <c r="Z73" i="14"/>
  <c r="W77" i="14"/>
  <c r="K77" i="14"/>
  <c r="V83" i="14"/>
  <c r="J83" i="14"/>
  <c r="Y83" i="14" s="1"/>
  <c r="M83" i="14"/>
  <c r="P83" i="14" s="1"/>
  <c r="S83" i="14"/>
  <c r="V91" i="14"/>
  <c r="J91" i="14"/>
  <c r="AB91" i="14" s="1"/>
  <c r="M91" i="14"/>
  <c r="P91" i="14" s="1"/>
  <c r="S91" i="14"/>
  <c r="V67" i="14"/>
  <c r="J67" i="14"/>
  <c r="AB67" i="14" s="1"/>
  <c r="M69" i="14"/>
  <c r="P69" i="14" s="1"/>
  <c r="O71" i="14"/>
  <c r="R71" i="14" s="1"/>
  <c r="O77" i="14"/>
  <c r="R77" i="14" s="1"/>
  <c r="O75" i="14"/>
  <c r="R75" i="14" s="1"/>
  <c r="AF83" i="14"/>
  <c r="AC83" i="14"/>
  <c r="S70" i="14"/>
  <c r="S72" i="14"/>
  <c r="S74" i="14"/>
  <c r="M75" i="14"/>
  <c r="P75" i="14" s="1"/>
  <c r="S76" i="14"/>
  <c r="M77" i="14"/>
  <c r="P77" i="14" s="1"/>
  <c r="S78" i="14"/>
  <c r="M96" i="14"/>
  <c r="P96" i="14" s="1"/>
  <c r="S99" i="14"/>
  <c r="M100" i="14"/>
  <c r="P100" i="14" s="1"/>
  <c r="AI101" i="14"/>
  <c r="M107" i="14"/>
  <c r="P107" i="14" s="1"/>
  <c r="V107" i="14"/>
  <c r="J107" i="14"/>
  <c r="AB107" i="14" s="1"/>
  <c r="U68" i="14"/>
  <c r="U70" i="14"/>
  <c r="U72" i="14"/>
  <c r="U74" i="14"/>
  <c r="U76" i="14"/>
  <c r="U78" i="14"/>
  <c r="AJ81" i="14"/>
  <c r="AG81" i="14"/>
  <c r="V82" i="14"/>
  <c r="J82" i="14"/>
  <c r="AB82" i="14" s="1"/>
  <c r="V86" i="14"/>
  <c r="J86" i="14"/>
  <c r="AB86" i="14" s="1"/>
  <c r="V90" i="14"/>
  <c r="J90" i="14"/>
  <c r="AB90" i="14" s="1"/>
  <c r="V94" i="14"/>
  <c r="J94" i="14"/>
  <c r="AB94" i="14" s="1"/>
  <c r="S96" i="14"/>
  <c r="V98" i="14"/>
  <c r="J98" i="14"/>
  <c r="AB98" i="14" s="1"/>
  <c r="S100" i="14"/>
  <c r="V102" i="14"/>
  <c r="J102" i="14"/>
  <c r="AB102" i="14" s="1"/>
  <c r="M105" i="14"/>
  <c r="P105" i="14" s="1"/>
  <c r="V105" i="14"/>
  <c r="J105" i="14"/>
  <c r="Y105" i="14" s="1"/>
  <c r="J70" i="14"/>
  <c r="V70" i="14"/>
  <c r="J72" i="14"/>
  <c r="V72" i="14"/>
  <c r="J74" i="14"/>
  <c r="V74" i="14"/>
  <c r="J76" i="14"/>
  <c r="V76" i="14"/>
  <c r="J78" i="14"/>
  <c r="V78" i="14"/>
  <c r="W80" i="14"/>
  <c r="M81" i="14"/>
  <c r="P81" i="14" s="1"/>
  <c r="M85" i="14"/>
  <c r="P85" i="14" s="1"/>
  <c r="M89" i="14"/>
  <c r="P89" i="14" s="1"/>
  <c r="M93" i="14"/>
  <c r="P93" i="14" s="1"/>
  <c r="M97" i="14"/>
  <c r="P97" i="14" s="1"/>
  <c r="M101" i="14"/>
  <c r="P101" i="14" s="1"/>
  <c r="M103" i="14"/>
  <c r="P103" i="14" s="1"/>
  <c r="V103" i="14"/>
  <c r="J103" i="14"/>
  <c r="Y103" i="14" s="1"/>
  <c r="X98" i="14"/>
  <c r="L98" i="14"/>
  <c r="AD98" i="14" s="1"/>
  <c r="O98" i="14"/>
  <c r="R98" i="14" s="1"/>
  <c r="V99" i="14"/>
  <c r="J99" i="14"/>
  <c r="Y99" i="14" s="1"/>
  <c r="X102" i="14"/>
  <c r="L102" i="14"/>
  <c r="AA102" i="14" s="1"/>
  <c r="O102" i="14"/>
  <c r="R102" i="14" s="1"/>
  <c r="M111" i="14"/>
  <c r="P111" i="14" s="1"/>
  <c r="V111" i="14"/>
  <c r="J111" i="14"/>
  <c r="Y111" i="14" s="1"/>
  <c r="L68" i="14"/>
  <c r="L70" i="14"/>
  <c r="L72" i="14"/>
  <c r="L74" i="14"/>
  <c r="L76" i="14"/>
  <c r="L78" i="14"/>
  <c r="V80" i="14"/>
  <c r="J80" i="14"/>
  <c r="AB80" i="14" s="1"/>
  <c r="Z83" i="14"/>
  <c r="Z87" i="14"/>
  <c r="Z99" i="14"/>
  <c r="AC99" i="14"/>
  <c r="X106" i="14"/>
  <c r="L106" i="14"/>
  <c r="AD106" i="14" s="1"/>
  <c r="O106" i="14"/>
  <c r="R106" i="14" s="1"/>
  <c r="S75" i="14"/>
  <c r="S77" i="14"/>
  <c r="V79" i="14"/>
  <c r="T80" i="14"/>
  <c r="S81" i="14"/>
  <c r="S85" i="14"/>
  <c r="S89" i="14"/>
  <c r="S93" i="14"/>
  <c r="S97" i="14"/>
  <c r="S101" i="14"/>
  <c r="AI103" i="14"/>
  <c r="AF103" i="14"/>
  <c r="X104" i="14"/>
  <c r="L104" i="14"/>
  <c r="AD104" i="14" s="1"/>
  <c r="O104" i="14"/>
  <c r="R104" i="14" s="1"/>
  <c r="AF106" i="14"/>
  <c r="AI99" i="14"/>
  <c r="V96" i="14"/>
  <c r="J96" i="14"/>
  <c r="Y96" i="14" s="1"/>
  <c r="V100" i="14"/>
  <c r="J100" i="14"/>
  <c r="Y100" i="14" s="1"/>
  <c r="S107" i="14"/>
  <c r="J75" i="14"/>
  <c r="Y75" i="14" s="1"/>
  <c r="J77" i="14"/>
  <c r="J79" i="14"/>
  <c r="Y79" i="14" s="1"/>
  <c r="M80" i="14"/>
  <c r="P80" i="14" s="1"/>
  <c r="U98" i="14"/>
  <c r="M99" i="14"/>
  <c r="P99" i="14" s="1"/>
  <c r="U102" i="14"/>
  <c r="U104" i="14"/>
  <c r="S105" i="14"/>
  <c r="M109" i="14"/>
  <c r="P109" i="14" s="1"/>
  <c r="V109" i="14"/>
  <c r="J109" i="14"/>
  <c r="Y109" i="14" s="1"/>
  <c r="V81" i="14"/>
  <c r="J81" i="14"/>
  <c r="Y81" i="14" s="1"/>
  <c r="X84" i="14"/>
  <c r="L84" i="14"/>
  <c r="AD84" i="14" s="1"/>
  <c r="O84" i="14"/>
  <c r="R84" i="14" s="1"/>
  <c r="V85" i="14"/>
  <c r="J85" i="14"/>
  <c r="X88" i="14"/>
  <c r="L88" i="14"/>
  <c r="AA88" i="14" s="1"/>
  <c r="O88" i="14"/>
  <c r="R88" i="14" s="1"/>
  <c r="V89" i="14"/>
  <c r="J89" i="14"/>
  <c r="Y89" i="14" s="1"/>
  <c r="X92" i="14"/>
  <c r="L92" i="14"/>
  <c r="AD92" i="14" s="1"/>
  <c r="O92" i="14"/>
  <c r="R92" i="14" s="1"/>
  <c r="V93" i="14"/>
  <c r="J93" i="14"/>
  <c r="X96" i="14"/>
  <c r="L96" i="14"/>
  <c r="AD96" i="14" s="1"/>
  <c r="O96" i="14"/>
  <c r="R96" i="14" s="1"/>
  <c r="V97" i="14"/>
  <c r="J97" i="14"/>
  <c r="X100" i="14"/>
  <c r="L100" i="14"/>
  <c r="AD100" i="14" s="1"/>
  <c r="O100" i="14"/>
  <c r="R100" i="14" s="1"/>
  <c r="V101" i="14"/>
  <c r="J101" i="14"/>
  <c r="Y101" i="14" s="1"/>
  <c r="S111" i="14"/>
  <c r="T81" i="14"/>
  <c r="N82" i="14"/>
  <c r="Q82" i="14" s="1"/>
  <c r="T83" i="14"/>
  <c r="N84" i="14"/>
  <c r="Q84" i="14" s="1"/>
  <c r="T85" i="14"/>
  <c r="N86" i="14"/>
  <c r="Q86" i="14" s="1"/>
  <c r="T87" i="14"/>
  <c r="N88" i="14"/>
  <c r="Q88" i="14" s="1"/>
  <c r="T89" i="14"/>
  <c r="N90" i="14"/>
  <c r="Q90" i="14" s="1"/>
  <c r="Z90" i="14"/>
  <c r="T91" i="14"/>
  <c r="N92" i="14"/>
  <c r="Q92" i="14" s="1"/>
  <c r="T93" i="14"/>
  <c r="N94" i="14"/>
  <c r="Q94" i="14" s="1"/>
  <c r="T95" i="14"/>
  <c r="N96" i="14"/>
  <c r="Q96" i="14" s="1"/>
  <c r="Z96" i="14"/>
  <c r="T97" i="14"/>
  <c r="N98" i="14"/>
  <c r="Q98" i="14" s="1"/>
  <c r="Z98" i="14"/>
  <c r="T99" i="14"/>
  <c r="N100" i="14"/>
  <c r="Q100" i="14" s="1"/>
  <c r="Z100" i="14"/>
  <c r="T101" i="14"/>
  <c r="N102" i="14"/>
  <c r="Q102" i="14" s="1"/>
  <c r="T103" i="14"/>
  <c r="N104" i="14"/>
  <c r="Q104" i="14" s="1"/>
  <c r="T105" i="14"/>
  <c r="AF105" i="14"/>
  <c r="N106" i="14"/>
  <c r="Q106" i="14" s="1"/>
  <c r="Z106" i="14"/>
  <c r="T107" i="14"/>
  <c r="N108" i="14"/>
  <c r="Q108" i="14" s="1"/>
  <c r="T109" i="14"/>
  <c r="AF109" i="14"/>
  <c r="N110" i="14"/>
  <c r="Q110" i="14" s="1"/>
  <c r="T111" i="14"/>
  <c r="AF111" i="14"/>
  <c r="N112" i="14"/>
  <c r="Q112" i="14" s="1"/>
  <c r="U81" i="14"/>
  <c r="U83" i="14"/>
  <c r="AG83" i="14"/>
  <c r="U85" i="14"/>
  <c r="AG85" i="14"/>
  <c r="U87" i="14"/>
  <c r="U89" i="14"/>
  <c r="AG89" i="14"/>
  <c r="U91" i="14"/>
  <c r="U93" i="14"/>
  <c r="AG97" i="14"/>
  <c r="AG99" i="14"/>
  <c r="AG101" i="14"/>
  <c r="AG103" i="14"/>
  <c r="AG107" i="14"/>
  <c r="O108" i="14"/>
  <c r="R108" i="14" s="1"/>
  <c r="O110" i="14"/>
  <c r="R110" i="14" s="1"/>
  <c r="O112" i="14"/>
  <c r="R112" i="14" s="1"/>
  <c r="AJ97" i="14"/>
  <c r="AJ99" i="14"/>
  <c r="AJ101" i="14"/>
  <c r="AJ103" i="14"/>
  <c r="AJ105" i="14"/>
  <c r="AJ107" i="14"/>
  <c r="S104" i="14"/>
  <c r="S106" i="14"/>
  <c r="S108" i="14"/>
  <c r="S110" i="14"/>
  <c r="S112" i="14"/>
  <c r="N81" i="14"/>
  <c r="Q81" i="14" s="1"/>
  <c r="N83" i="14"/>
  <c r="Q83" i="14" s="1"/>
  <c r="N85" i="14"/>
  <c r="Q85" i="14" s="1"/>
  <c r="N87" i="14"/>
  <c r="Q87" i="14" s="1"/>
  <c r="N89" i="14"/>
  <c r="Q89" i="14" s="1"/>
  <c r="N91" i="14"/>
  <c r="Q91" i="14" s="1"/>
  <c r="N93" i="14"/>
  <c r="Q93" i="14" s="1"/>
  <c r="N95" i="14"/>
  <c r="Q95" i="14" s="1"/>
  <c r="N97" i="14"/>
  <c r="Q97" i="14" s="1"/>
  <c r="N99" i="14"/>
  <c r="Q99" i="14" s="1"/>
  <c r="N101" i="14"/>
  <c r="Q101" i="14" s="1"/>
  <c r="N103" i="14"/>
  <c r="Q103" i="14" s="1"/>
  <c r="N105" i="14"/>
  <c r="Q105" i="14" s="1"/>
  <c r="N107" i="14"/>
  <c r="Q107" i="14" s="1"/>
  <c r="N109" i="14"/>
  <c r="Q109" i="14" s="1"/>
  <c r="N111" i="14"/>
  <c r="Q111" i="14" s="1"/>
  <c r="U108" i="14"/>
  <c r="U110" i="14"/>
  <c r="U112" i="14"/>
  <c r="J104" i="14"/>
  <c r="AB104" i="14" s="1"/>
  <c r="J106" i="14"/>
  <c r="AB106" i="14" s="1"/>
  <c r="J108" i="14"/>
  <c r="AB108" i="14" s="1"/>
  <c r="J110" i="14"/>
  <c r="AB110" i="14" s="1"/>
  <c r="J112" i="14"/>
  <c r="AB112" i="14" s="1"/>
  <c r="L108" i="14"/>
  <c r="AA108" i="14" s="1"/>
  <c r="L110" i="14"/>
  <c r="AA110" i="14" s="1"/>
  <c r="L112" i="14"/>
  <c r="AD112" i="14" s="1"/>
  <c r="J30" i="13"/>
  <c r="AE30" i="13" s="1"/>
  <c r="K22" i="13"/>
  <c r="AI22" i="13" s="1"/>
  <c r="L14" i="13"/>
  <c r="AG14" i="13" s="1"/>
  <c r="J17" i="13"/>
  <c r="AA17" i="13" s="1"/>
  <c r="L73" i="13"/>
  <c r="AJ73" i="13" s="1"/>
  <c r="J88" i="13"/>
  <c r="AC88" i="13" s="1"/>
  <c r="J16" i="13"/>
  <c r="AH16" i="13" s="1"/>
  <c r="L84" i="13"/>
  <c r="AJ84" i="13" s="1"/>
  <c r="L72" i="13"/>
  <c r="AJ72" i="13" s="1"/>
  <c r="L60" i="13"/>
  <c r="AJ60" i="13" s="1"/>
  <c r="L48" i="13"/>
  <c r="AJ48" i="13" s="1"/>
  <c r="L36" i="13"/>
  <c r="AJ36" i="13" s="1"/>
  <c r="L24" i="13"/>
  <c r="AJ24" i="13" s="1"/>
  <c r="J18" i="13"/>
  <c r="AB18" i="13" s="1"/>
  <c r="L86" i="13"/>
  <c r="AJ86" i="13" s="1"/>
  <c r="J53" i="13"/>
  <c r="AH53" i="13" s="1"/>
  <c r="K57" i="13"/>
  <c r="AI57" i="13" s="1"/>
  <c r="L61" i="13"/>
  <c r="AJ61" i="13" s="1"/>
  <c r="J100" i="13"/>
  <c r="AH100" i="13" s="1"/>
  <c r="L96" i="13"/>
  <c r="AJ96" i="13" s="1"/>
  <c r="J111" i="13"/>
  <c r="AH111" i="13" s="1"/>
  <c r="J87" i="13"/>
  <c r="AH87" i="13" s="1"/>
  <c r="J51" i="13"/>
  <c r="AH51" i="13" s="1"/>
  <c r="J15" i="13"/>
  <c r="AH15" i="13" s="1"/>
  <c r="K31" i="13"/>
  <c r="AI31" i="13" s="1"/>
  <c r="L107" i="13"/>
  <c r="AJ107" i="13" s="1"/>
  <c r="L83" i="13"/>
  <c r="AG83" i="13" s="1"/>
  <c r="L71" i="13"/>
  <c r="AJ71" i="13" s="1"/>
  <c r="J54" i="13"/>
  <c r="AB54" i="13" s="1"/>
  <c r="L38" i="13"/>
  <c r="AJ38" i="13" s="1"/>
  <c r="J29" i="13"/>
  <c r="AH29" i="13" s="1"/>
  <c r="K45" i="13"/>
  <c r="AI45" i="13" s="1"/>
  <c r="L49" i="13"/>
  <c r="AJ49" i="13" s="1"/>
  <c r="J112" i="13"/>
  <c r="AH112" i="13" s="1"/>
  <c r="J38" i="13"/>
  <c r="AB38" i="13" s="1"/>
  <c r="K30" i="13"/>
  <c r="AI30" i="13" s="1"/>
  <c r="L34" i="13"/>
  <c r="AJ34" i="13" s="1"/>
  <c r="K12" i="13"/>
  <c r="AI12" i="13" s="1"/>
  <c r="K106" i="13"/>
  <c r="AI106" i="13" s="1"/>
  <c r="K34" i="13"/>
  <c r="AI34" i="13" s="1"/>
  <c r="L26" i="13"/>
  <c r="AJ26" i="13" s="1"/>
  <c r="J89" i="13"/>
  <c r="AH89" i="13" s="1"/>
  <c r="K93" i="13"/>
  <c r="AI93" i="13" s="1"/>
  <c r="L85" i="13"/>
  <c r="AG85" i="13" s="1"/>
  <c r="J52" i="13"/>
  <c r="AH52" i="13" s="1"/>
  <c r="J110" i="13"/>
  <c r="AA110" i="13" s="1"/>
  <c r="J14" i="13"/>
  <c r="AH14" i="13" s="1"/>
  <c r="K54" i="13"/>
  <c r="AI54" i="13" s="1"/>
  <c r="L82" i="13"/>
  <c r="AJ82" i="13" s="1"/>
  <c r="L46" i="13"/>
  <c r="AJ46" i="13" s="1"/>
  <c r="J109" i="13"/>
  <c r="AH109" i="13" s="1"/>
  <c r="J97" i="13"/>
  <c r="AH97" i="13" s="1"/>
  <c r="J85" i="13"/>
  <c r="AD85" i="13" s="1"/>
  <c r="J73" i="13"/>
  <c r="AH73" i="13" s="1"/>
  <c r="J61" i="13"/>
  <c r="AH61" i="13" s="1"/>
  <c r="J49" i="13"/>
  <c r="Z49" i="13" s="1"/>
  <c r="J37" i="13"/>
  <c r="AH37" i="13" s="1"/>
  <c r="J25" i="13"/>
  <c r="AB25" i="13" s="1"/>
  <c r="J13" i="13"/>
  <c r="AH13" i="13" s="1"/>
  <c r="K101" i="13"/>
  <c r="AF101" i="13" s="1"/>
  <c r="K89" i="13"/>
  <c r="AI89" i="13" s="1"/>
  <c r="K77" i="13"/>
  <c r="AI77" i="13" s="1"/>
  <c r="K65" i="13"/>
  <c r="AI65" i="13" s="1"/>
  <c r="K53" i="13"/>
  <c r="AI53" i="13" s="1"/>
  <c r="K41" i="13"/>
  <c r="AI41" i="13" s="1"/>
  <c r="K29" i="13"/>
  <c r="AI29" i="13" s="1"/>
  <c r="K17" i="13"/>
  <c r="AF17" i="13" s="1"/>
  <c r="L105" i="13"/>
  <c r="AJ105" i="13" s="1"/>
  <c r="L93" i="13"/>
  <c r="AJ93" i="13" s="1"/>
  <c r="L81" i="13"/>
  <c r="AJ81" i="13" s="1"/>
  <c r="L69" i="13"/>
  <c r="AJ69" i="13" s="1"/>
  <c r="L45" i="13"/>
  <c r="AJ45" i="13" s="1"/>
  <c r="L33" i="13"/>
  <c r="AJ33" i="13" s="1"/>
  <c r="L21" i="13"/>
  <c r="AJ21" i="13" s="1"/>
  <c r="J66" i="13"/>
  <c r="AC66" i="13" s="1"/>
  <c r="K46" i="13"/>
  <c r="AI46" i="13" s="1"/>
  <c r="J41" i="13"/>
  <c r="AB41" i="13" s="1"/>
  <c r="L97" i="13"/>
  <c r="AJ97" i="13" s="1"/>
  <c r="J64" i="13"/>
  <c r="AB64" i="13" s="1"/>
  <c r="J26" i="13"/>
  <c r="AH26" i="13" s="1"/>
  <c r="K42" i="13"/>
  <c r="AI42" i="13" s="1"/>
  <c r="L22" i="13"/>
  <c r="AJ22" i="13" s="1"/>
  <c r="L104" i="13"/>
  <c r="AJ104" i="13" s="1"/>
  <c r="L92" i="13"/>
  <c r="AJ92" i="13" s="1"/>
  <c r="L80" i="13"/>
  <c r="AJ80" i="13" s="1"/>
  <c r="L68" i="13"/>
  <c r="AJ68" i="13" s="1"/>
  <c r="L56" i="13"/>
  <c r="AJ56" i="13" s="1"/>
  <c r="L44" i="13"/>
  <c r="AJ44" i="13" s="1"/>
  <c r="L32" i="13"/>
  <c r="AJ32" i="13" s="1"/>
  <c r="L20" i="13"/>
  <c r="AJ20" i="13" s="1"/>
  <c r="J90" i="13"/>
  <c r="AB90" i="13" s="1"/>
  <c r="K70" i="13"/>
  <c r="AI70" i="13" s="1"/>
  <c r="L62" i="13"/>
  <c r="AJ62" i="13" s="1"/>
  <c r="K105" i="13"/>
  <c r="AI105" i="13" s="1"/>
  <c r="L109" i="13"/>
  <c r="AJ109" i="13" s="1"/>
  <c r="L13" i="13"/>
  <c r="AJ13" i="13" s="1"/>
  <c r="J40" i="13"/>
  <c r="AE40" i="13" s="1"/>
  <c r="L108" i="13"/>
  <c r="AJ108" i="13" s="1"/>
  <c r="J62" i="13"/>
  <c r="AH62" i="13" s="1"/>
  <c r="K78" i="13"/>
  <c r="AI78" i="13" s="1"/>
  <c r="L106" i="13"/>
  <c r="AJ106" i="13" s="1"/>
  <c r="L103" i="13"/>
  <c r="AJ103" i="13" s="1"/>
  <c r="L91" i="13"/>
  <c r="AJ91" i="13" s="1"/>
  <c r="L79" i="13"/>
  <c r="AJ79" i="13" s="1"/>
  <c r="L55" i="13"/>
  <c r="AJ55" i="13" s="1"/>
  <c r="L43" i="13"/>
  <c r="AJ43" i="13" s="1"/>
  <c r="L31" i="13"/>
  <c r="AJ31" i="13" s="1"/>
  <c r="K94" i="13"/>
  <c r="AF94" i="13" s="1"/>
  <c r="L110" i="13"/>
  <c r="AJ110" i="13" s="1"/>
  <c r="J65" i="13"/>
  <c r="AH65" i="13" s="1"/>
  <c r="K21" i="13"/>
  <c r="AI21" i="13" s="1"/>
  <c r="J76" i="13"/>
  <c r="AH76" i="13" s="1"/>
  <c r="J74" i="13"/>
  <c r="AC74" i="13" s="1"/>
  <c r="K66" i="13"/>
  <c r="AI66" i="13" s="1"/>
  <c r="L70" i="13"/>
  <c r="AJ70" i="13" s="1"/>
  <c r="L102" i="13"/>
  <c r="AJ102" i="13" s="1"/>
  <c r="L90" i="13"/>
  <c r="AJ90" i="13" s="1"/>
  <c r="L78" i="13"/>
  <c r="AJ78" i="13" s="1"/>
  <c r="L66" i="13"/>
  <c r="AJ66" i="13" s="1"/>
  <c r="L54" i="13"/>
  <c r="AJ54" i="13" s="1"/>
  <c r="L42" i="13"/>
  <c r="AJ42" i="13" s="1"/>
  <c r="L30" i="13"/>
  <c r="AJ30" i="13" s="1"/>
  <c r="L18" i="13"/>
  <c r="AJ18" i="13" s="1"/>
  <c r="J102" i="13"/>
  <c r="AE102" i="13" s="1"/>
  <c r="K82" i="13"/>
  <c r="AI82" i="13" s="1"/>
  <c r="L74" i="13"/>
  <c r="AJ74" i="13" s="1"/>
  <c r="K33" i="13"/>
  <c r="AI33" i="13" s="1"/>
  <c r="J86" i="13"/>
  <c r="AB86" i="13" s="1"/>
  <c r="K102" i="13"/>
  <c r="AI102" i="13" s="1"/>
  <c r="K18" i="13"/>
  <c r="AI18" i="13" s="1"/>
  <c r="J93" i="13"/>
  <c r="AH93" i="13" s="1"/>
  <c r="J57" i="13"/>
  <c r="AH57" i="13" s="1"/>
  <c r="J21" i="13"/>
  <c r="Z21" i="13" s="1"/>
  <c r="K109" i="13"/>
  <c r="AI109" i="13" s="1"/>
  <c r="K97" i="13"/>
  <c r="AI97" i="13" s="1"/>
  <c r="K85" i="13"/>
  <c r="AI85" i="13" s="1"/>
  <c r="K73" i="13"/>
  <c r="AI73" i="13" s="1"/>
  <c r="K61" i="13"/>
  <c r="AI61" i="13" s="1"/>
  <c r="K49" i="13"/>
  <c r="AI49" i="13" s="1"/>
  <c r="K37" i="13"/>
  <c r="AI37" i="13" s="1"/>
  <c r="K25" i="13"/>
  <c r="AI25" i="13" s="1"/>
  <c r="K13" i="13"/>
  <c r="AI13" i="13" s="1"/>
  <c r="L101" i="13"/>
  <c r="AJ101" i="13" s="1"/>
  <c r="L89" i="13"/>
  <c r="AJ89" i="13" s="1"/>
  <c r="L65" i="13"/>
  <c r="AJ65" i="13" s="1"/>
  <c r="L53" i="13"/>
  <c r="AJ53" i="13" s="1"/>
  <c r="L41" i="13"/>
  <c r="AG41" i="13" s="1"/>
  <c r="L17" i="13"/>
  <c r="AJ17" i="13" s="1"/>
  <c r="J42" i="13"/>
  <c r="AE42" i="13" s="1"/>
  <c r="L98" i="13"/>
  <c r="AJ98" i="13" s="1"/>
  <c r="J77" i="13"/>
  <c r="AH77" i="13" s="1"/>
  <c r="K69" i="13"/>
  <c r="AI69" i="13" s="1"/>
  <c r="L37" i="13"/>
  <c r="AJ37" i="13" s="1"/>
  <c r="J28" i="13"/>
  <c r="AH28" i="13" s="1"/>
  <c r="J50" i="13"/>
  <c r="AC50" i="13" s="1"/>
  <c r="L58" i="13"/>
  <c r="AJ58" i="13" s="1"/>
  <c r="J105" i="13"/>
  <c r="AH105" i="13" s="1"/>
  <c r="J69" i="13"/>
  <c r="AH69" i="13" s="1"/>
  <c r="J33" i="13"/>
  <c r="AC33" i="13" s="1"/>
  <c r="L112" i="13"/>
  <c r="AJ112" i="13" s="1"/>
  <c r="L100" i="13"/>
  <c r="AJ100" i="13" s="1"/>
  <c r="L88" i="13"/>
  <c r="AJ88" i="13" s="1"/>
  <c r="L76" i="13"/>
  <c r="AJ76" i="13" s="1"/>
  <c r="L64" i="13"/>
  <c r="AJ64" i="13" s="1"/>
  <c r="L52" i="13"/>
  <c r="AJ52" i="13" s="1"/>
  <c r="L40" i="13"/>
  <c r="AJ40" i="13" s="1"/>
  <c r="L28" i="13"/>
  <c r="AJ28" i="13" s="1"/>
  <c r="L16" i="13"/>
  <c r="AJ16" i="13" s="1"/>
  <c r="J78" i="13"/>
  <c r="AB78" i="13" s="1"/>
  <c r="K58" i="13"/>
  <c r="AI58" i="13" s="1"/>
  <c r="L50" i="13"/>
  <c r="AJ50" i="13" s="1"/>
  <c r="J101" i="13"/>
  <c r="AH101" i="13" s="1"/>
  <c r="K81" i="13"/>
  <c r="AI81" i="13" s="1"/>
  <c r="L25" i="13"/>
  <c r="AJ25" i="13" s="1"/>
  <c r="J98" i="13"/>
  <c r="AC98" i="13" s="1"/>
  <c r="K90" i="13"/>
  <c r="AI90" i="13" s="1"/>
  <c r="L94" i="13"/>
  <c r="AJ94" i="13" s="1"/>
  <c r="J81" i="13"/>
  <c r="AH81" i="13" s="1"/>
  <c r="J45" i="13"/>
  <c r="AH45" i="13" s="1"/>
  <c r="L111" i="13"/>
  <c r="AG111" i="13" s="1"/>
  <c r="L99" i="13"/>
  <c r="AJ99" i="13" s="1"/>
  <c r="L87" i="13"/>
  <c r="AG87" i="13" s="1"/>
  <c r="L75" i="13"/>
  <c r="AJ75" i="13" s="1"/>
  <c r="L63" i="13"/>
  <c r="AJ63" i="13" s="1"/>
  <c r="L51" i="13"/>
  <c r="AJ51" i="13" s="1"/>
  <c r="L39" i="13"/>
  <c r="AJ39" i="13" s="1"/>
  <c r="L27" i="13"/>
  <c r="AJ27" i="13" s="1"/>
  <c r="K108" i="13"/>
  <c r="AI108" i="13" s="1"/>
  <c r="K60" i="13"/>
  <c r="AI60" i="13" s="1"/>
  <c r="K36" i="13"/>
  <c r="AI36" i="13" s="1"/>
  <c r="L19" i="13"/>
  <c r="AJ19" i="13" s="1"/>
  <c r="K92" i="13"/>
  <c r="AI92" i="13" s="1"/>
  <c r="K76" i="13"/>
  <c r="AI76" i="13" s="1"/>
  <c r="L67" i="13"/>
  <c r="AJ67" i="13" s="1"/>
  <c r="K64" i="13"/>
  <c r="AI64" i="13" s="1"/>
  <c r="K48" i="13"/>
  <c r="AI48" i="13" s="1"/>
  <c r="K104" i="13"/>
  <c r="AI104" i="13" s="1"/>
  <c r="K20" i="13"/>
  <c r="AI20" i="13" s="1"/>
  <c r="K96" i="13"/>
  <c r="AI96" i="13" s="1"/>
  <c r="K68" i="13"/>
  <c r="AI68" i="13" s="1"/>
  <c r="K40" i="13"/>
  <c r="AI40" i="13" s="1"/>
  <c r="K32" i="13"/>
  <c r="AI32" i="13" s="1"/>
  <c r="K88" i="13"/>
  <c r="AI88" i="13" s="1"/>
  <c r="K56" i="13"/>
  <c r="AI56" i="13" s="1"/>
  <c r="K28" i="13"/>
  <c r="AI28" i="13" s="1"/>
  <c r="K112" i="13"/>
  <c r="AI112" i="13" s="1"/>
  <c r="K84" i="13"/>
  <c r="AI84" i="13" s="1"/>
  <c r="K80" i="13"/>
  <c r="AI80" i="13" s="1"/>
  <c r="K52" i="13"/>
  <c r="AI52" i="13" s="1"/>
  <c r="K24" i="13"/>
  <c r="AI24" i="13" s="1"/>
  <c r="K44" i="13"/>
  <c r="AI44" i="13" s="1"/>
  <c r="K16" i="13"/>
  <c r="AI16" i="13" s="1"/>
  <c r="K100" i="13"/>
  <c r="AI100" i="13" s="1"/>
  <c r="K72" i="13"/>
  <c r="AI72" i="13" s="1"/>
  <c r="L15" i="13"/>
  <c r="AJ15" i="13" s="1"/>
  <c r="L47" i="13"/>
  <c r="AJ47" i="13" s="1"/>
  <c r="J108" i="13"/>
  <c r="AB108" i="13" s="1"/>
  <c r="J104" i="13"/>
  <c r="AH104" i="13" s="1"/>
  <c r="J96" i="13"/>
  <c r="Y96" i="13" s="1"/>
  <c r="J92" i="13"/>
  <c r="AC92" i="13" s="1"/>
  <c r="J84" i="13"/>
  <c r="AH84" i="13" s="1"/>
  <c r="J80" i="13"/>
  <c r="Z80" i="13" s="1"/>
  <c r="J72" i="13"/>
  <c r="AH72" i="13" s="1"/>
  <c r="J68" i="13"/>
  <c r="Z68" i="13" s="1"/>
  <c r="J60" i="13"/>
  <c r="AH60" i="13" s="1"/>
  <c r="J56" i="13"/>
  <c r="AH56" i="13" s="1"/>
  <c r="J48" i="13"/>
  <c r="AH48" i="13" s="1"/>
  <c r="J44" i="13"/>
  <c r="Z44" i="13" s="1"/>
  <c r="J36" i="13"/>
  <c r="AH36" i="13" s="1"/>
  <c r="J32" i="13"/>
  <c r="AH32" i="13" s="1"/>
  <c r="J24" i="13"/>
  <c r="AH24" i="13" s="1"/>
  <c r="J20" i="13"/>
  <c r="AH20" i="13" s="1"/>
  <c r="L23" i="13"/>
  <c r="AJ23" i="13" s="1"/>
  <c r="K111" i="13"/>
  <c r="AI111" i="13" s="1"/>
  <c r="K107" i="13"/>
  <c r="AF107" i="13" s="1"/>
  <c r="K103" i="13"/>
  <c r="AI103" i="13" s="1"/>
  <c r="K99" i="13"/>
  <c r="AI99" i="13" s="1"/>
  <c r="K95" i="13"/>
  <c r="AI95" i="13" s="1"/>
  <c r="K91" i="13"/>
  <c r="AI91" i="13" s="1"/>
  <c r="K87" i="13"/>
  <c r="AI87" i="13" s="1"/>
  <c r="K83" i="13"/>
  <c r="AI83" i="13" s="1"/>
  <c r="K79" i="13"/>
  <c r="AI79" i="13" s="1"/>
  <c r="K75" i="13"/>
  <c r="AI75" i="13" s="1"/>
  <c r="K71" i="13"/>
  <c r="AI71" i="13" s="1"/>
  <c r="K67" i="13"/>
  <c r="AF67" i="13" s="1"/>
  <c r="K63" i="13"/>
  <c r="AI63" i="13" s="1"/>
  <c r="K59" i="13"/>
  <c r="AI59" i="13" s="1"/>
  <c r="K55" i="13"/>
  <c r="AI55" i="13" s="1"/>
  <c r="K51" i="13"/>
  <c r="AI51" i="13" s="1"/>
  <c r="K47" i="13"/>
  <c r="AI47" i="13" s="1"/>
  <c r="K43" i="13"/>
  <c r="AI43" i="13" s="1"/>
  <c r="K39" i="13"/>
  <c r="AI39" i="13" s="1"/>
  <c r="K35" i="13"/>
  <c r="AI35" i="13" s="1"/>
  <c r="K27" i="13"/>
  <c r="AI27" i="13" s="1"/>
  <c r="K23" i="13"/>
  <c r="AI23" i="13" s="1"/>
  <c r="K19" i="13"/>
  <c r="AI19" i="13" s="1"/>
  <c r="K15" i="13"/>
  <c r="AI15" i="13" s="1"/>
  <c r="L35" i="13"/>
  <c r="AJ35" i="13" s="1"/>
  <c r="J107" i="13"/>
  <c r="AH107" i="13" s="1"/>
  <c r="J103" i="13"/>
  <c r="Y103" i="13" s="1"/>
  <c r="J99" i="13"/>
  <c r="AH99" i="13" s="1"/>
  <c r="J95" i="13"/>
  <c r="Y95" i="13" s="1"/>
  <c r="J91" i="13"/>
  <c r="AD91" i="13" s="1"/>
  <c r="J83" i="13"/>
  <c r="AA83" i="13" s="1"/>
  <c r="J79" i="13"/>
  <c r="AD79" i="13" s="1"/>
  <c r="J75" i="13"/>
  <c r="AH75" i="13" s="1"/>
  <c r="J71" i="13"/>
  <c r="AH71" i="13" s="1"/>
  <c r="J67" i="13"/>
  <c r="AB67" i="13" s="1"/>
  <c r="J63" i="13"/>
  <c r="AH63" i="13" s="1"/>
  <c r="J59" i="13"/>
  <c r="AA59" i="13" s="1"/>
  <c r="J55" i="13"/>
  <c r="AH55" i="13" s="1"/>
  <c r="J47" i="13"/>
  <c r="AH47" i="13" s="1"/>
  <c r="J43" i="13"/>
  <c r="AH43" i="13" s="1"/>
  <c r="J39" i="13"/>
  <c r="AH39" i="13" s="1"/>
  <c r="J35" i="13"/>
  <c r="AH35" i="13" s="1"/>
  <c r="J31" i="13"/>
  <c r="AB31" i="13" s="1"/>
  <c r="J27" i="13"/>
  <c r="AH27" i="13" s="1"/>
  <c r="J23" i="13"/>
  <c r="AH23" i="13" s="1"/>
  <c r="J19" i="13"/>
  <c r="AA19" i="13" s="1"/>
  <c r="L59" i="13"/>
  <c r="AJ59" i="13" s="1"/>
  <c r="K110" i="13"/>
  <c r="AI110" i="13" s="1"/>
  <c r="K98" i="13"/>
  <c r="AI98" i="13" s="1"/>
  <c r="K86" i="13"/>
  <c r="AI86" i="13" s="1"/>
  <c r="K74" i="13"/>
  <c r="AI74" i="13" s="1"/>
  <c r="K62" i="13"/>
  <c r="AI62" i="13" s="1"/>
  <c r="K50" i="13"/>
  <c r="AI50" i="13" s="1"/>
  <c r="K38" i="13"/>
  <c r="AI38" i="13" s="1"/>
  <c r="K26" i="13"/>
  <c r="AI26" i="13" s="1"/>
  <c r="K14" i="13"/>
  <c r="AI14" i="13" s="1"/>
  <c r="J106" i="13"/>
  <c r="AH106" i="13" s="1"/>
  <c r="J94" i="13"/>
  <c r="Z94" i="13" s="1"/>
  <c r="J82" i="13"/>
  <c r="AD82" i="13" s="1"/>
  <c r="J70" i="13"/>
  <c r="AH70" i="13" s="1"/>
  <c r="J58" i="13"/>
  <c r="AH58" i="13" s="1"/>
  <c r="J46" i="13"/>
  <c r="AH46" i="13" s="1"/>
  <c r="J34" i="13"/>
  <c r="AA34" i="13" s="1"/>
  <c r="J22" i="13"/>
  <c r="AE22" i="13" s="1"/>
  <c r="L77" i="13"/>
  <c r="AJ77" i="13" s="1"/>
  <c r="L57" i="13"/>
  <c r="AJ57" i="13" s="1"/>
  <c r="L29" i="13"/>
  <c r="AJ29" i="13" s="1"/>
  <c r="L95" i="13"/>
  <c r="AJ95" i="13" s="1"/>
  <c r="J12" i="13"/>
  <c r="AD12" i="13" s="1"/>
  <c r="L12" i="13"/>
  <c r="AJ12" i="13" s="1"/>
  <c r="C34" i="15" l="1"/>
  <c r="L33" i="15"/>
  <c r="K34" i="15"/>
  <c r="AB36" i="14"/>
  <c r="AB38" i="14"/>
  <c r="AE36" i="14"/>
  <c r="AH64" i="13"/>
  <c r="Z94" i="14"/>
  <c r="Z110" i="14"/>
  <c r="AA42" i="14"/>
  <c r="AI81" i="14"/>
  <c r="AF81" i="14"/>
  <c r="AC88" i="14"/>
  <c r="AC110" i="14"/>
  <c r="AC106" i="14"/>
  <c r="AI94" i="14"/>
  <c r="AF107" i="14"/>
  <c r="AC94" i="14"/>
  <c r="AE38" i="14"/>
  <c r="AH24" i="14"/>
  <c r="AH58" i="14"/>
  <c r="AG34" i="14"/>
  <c r="AI49" i="14"/>
  <c r="AE56" i="14"/>
  <c r="AG111" i="14"/>
  <c r="Y56" i="14"/>
  <c r="AH56" i="14"/>
  <c r="AF75" i="14"/>
  <c r="AA19" i="14"/>
  <c r="AJ111" i="14"/>
  <c r="AG109" i="14"/>
  <c r="AF65" i="14"/>
  <c r="AE34" i="14"/>
  <c r="AJ109" i="14"/>
  <c r="AG16" i="14"/>
  <c r="AF110" i="14"/>
  <c r="AA34" i="14"/>
  <c r="Z65" i="14"/>
  <c r="AG105" i="14"/>
  <c r="AC68" i="14"/>
  <c r="AF59" i="14"/>
  <c r="AI68" i="14"/>
  <c r="AJ32" i="14"/>
  <c r="AC82" i="14"/>
  <c r="AC49" i="14"/>
  <c r="AA23" i="14"/>
  <c r="AG12" i="14"/>
  <c r="AF16" i="14"/>
  <c r="AJ22" i="14"/>
  <c r="AD22" i="14"/>
  <c r="AA90" i="14"/>
  <c r="AD12" i="14"/>
  <c r="Z49" i="14"/>
  <c r="AB20" i="14"/>
  <c r="AI93" i="14"/>
  <c r="AF68" i="14"/>
  <c r="AA105" i="14"/>
  <c r="AC108" i="14"/>
  <c r="AB99" i="14"/>
  <c r="Z93" i="14"/>
  <c r="AC16" i="14"/>
  <c r="AA22" i="14"/>
  <c r="AB89" i="14"/>
  <c r="AI24" i="14"/>
  <c r="AA38" i="14"/>
  <c r="Y24" i="14"/>
  <c r="AE14" i="14"/>
  <c r="AC93" i="14"/>
  <c r="AC59" i="14"/>
  <c r="AD32" i="14"/>
  <c r="AD38" i="14"/>
  <c r="AC91" i="14"/>
  <c r="AA32" i="14"/>
  <c r="Z16" i="14"/>
  <c r="AF108" i="14"/>
  <c r="AA12" i="14"/>
  <c r="Z108" i="14"/>
  <c r="Z91" i="14"/>
  <c r="AI97" i="14"/>
  <c r="AF91" i="14"/>
  <c r="AJ38" i="14"/>
  <c r="AB14" i="14"/>
  <c r="AG93" i="14"/>
  <c r="AA93" i="14"/>
  <c r="Z84" i="14"/>
  <c r="AA54" i="14"/>
  <c r="AD93" i="14"/>
  <c r="AF112" i="14"/>
  <c r="AB101" i="14"/>
  <c r="AA92" i="14"/>
  <c r="AC18" i="14"/>
  <c r="AF36" i="14"/>
  <c r="AA79" i="14"/>
  <c r="AA46" i="14"/>
  <c r="AE30" i="14"/>
  <c r="AA111" i="14"/>
  <c r="Z18" i="14"/>
  <c r="AC95" i="14"/>
  <c r="AC102" i="14"/>
  <c r="Z92" i="14"/>
  <c r="AF95" i="14"/>
  <c r="Y71" i="14"/>
  <c r="AB22" i="14"/>
  <c r="AA107" i="14"/>
  <c r="AC112" i="14"/>
  <c r="AD94" i="14"/>
  <c r="AF18" i="14"/>
  <c r="Z112" i="14"/>
  <c r="Z95" i="14"/>
  <c r="AC92" i="14"/>
  <c r="AC33" i="14"/>
  <c r="AH22" i="14"/>
  <c r="AI92" i="14"/>
  <c r="AB79" i="14"/>
  <c r="AC84" i="14"/>
  <c r="AG13" i="14"/>
  <c r="AH20" i="14"/>
  <c r="Z107" i="14"/>
  <c r="AB87" i="14"/>
  <c r="AI84" i="14"/>
  <c r="AF23" i="14"/>
  <c r="Z81" i="14"/>
  <c r="AC63" i="14"/>
  <c r="AB84" i="14"/>
  <c r="AJ13" i="14"/>
  <c r="AF101" i="14"/>
  <c r="AC101" i="14"/>
  <c r="AD57" i="14"/>
  <c r="AC34" i="14"/>
  <c r="AA59" i="14"/>
  <c r="AB16" i="14"/>
  <c r="AF104" i="14"/>
  <c r="AG18" i="14"/>
  <c r="AC65" i="14"/>
  <c r="AI37" i="14"/>
  <c r="AD81" i="14"/>
  <c r="AC107" i="14"/>
  <c r="Y20" i="14"/>
  <c r="AA13" i="14"/>
  <c r="Z59" i="14"/>
  <c r="AI63" i="14"/>
  <c r="Y92" i="14"/>
  <c r="AD14" i="14"/>
  <c r="AA100" i="14"/>
  <c r="AG14" i="14"/>
  <c r="AE16" i="14"/>
  <c r="Y16" i="14"/>
  <c r="AH82" i="13"/>
  <c r="AH94" i="13"/>
  <c r="Y82" i="13"/>
  <c r="AE18" i="13"/>
  <c r="AC67" i="13"/>
  <c r="AB49" i="13"/>
  <c r="Y29" i="13"/>
  <c r="AF15" i="13"/>
  <c r="AH40" i="13"/>
  <c r="AE101" i="13"/>
  <c r="AB88" i="13"/>
  <c r="AJ87" i="13"/>
  <c r="Y65" i="13"/>
  <c r="AA112" i="13"/>
  <c r="Z28" i="13"/>
  <c r="AD92" i="13"/>
  <c r="AB73" i="13"/>
  <c r="AH44" i="13"/>
  <c r="AH41" i="13"/>
  <c r="AD34" i="13"/>
  <c r="AC36" i="13"/>
  <c r="Z39" i="13"/>
  <c r="Y59" i="13"/>
  <c r="AE41" i="13"/>
  <c r="AA28" i="13"/>
  <c r="AH59" i="13"/>
  <c r="Z105" i="13"/>
  <c r="Y62" i="13"/>
  <c r="Y66" i="13"/>
  <c r="AD103" i="13"/>
  <c r="AG53" i="13"/>
  <c r="AG102" i="13"/>
  <c r="AA109" i="13"/>
  <c r="AC34" i="13"/>
  <c r="AJ85" i="13"/>
  <c r="AB34" i="13"/>
  <c r="AA82" i="13"/>
  <c r="AC71" i="13"/>
  <c r="AA101" i="13"/>
  <c r="AB62" i="13"/>
  <c r="AC65" i="13"/>
  <c r="Y27" i="13"/>
  <c r="AA62" i="13"/>
  <c r="AB66" i="13"/>
  <c r="AE67" i="13"/>
  <c r="AF51" i="13"/>
  <c r="AG56" i="13"/>
  <c r="AH98" i="13"/>
  <c r="AI67" i="13"/>
  <c r="AJ111" i="13"/>
  <c r="AH80" i="13"/>
  <c r="AH68" i="13"/>
  <c r="AH12" i="13"/>
  <c r="AH96" i="13"/>
  <c r="AC46" i="13"/>
  <c r="AD60" i="13"/>
  <c r="Z73" i="13"/>
  <c r="AB27" i="13"/>
  <c r="AA98" i="13"/>
  <c r="AC83" i="13"/>
  <c r="AC105" i="13"/>
  <c r="AF60" i="13"/>
  <c r="AH110" i="13"/>
  <c r="AH67" i="13"/>
  <c r="AH88" i="13"/>
  <c r="AH31" i="13"/>
  <c r="AH21" i="13"/>
  <c r="AH22" i="13"/>
  <c r="AH18" i="13"/>
  <c r="Z52" i="13"/>
  <c r="AB60" i="13"/>
  <c r="Y33" i="13"/>
  <c r="Y30" i="13"/>
  <c r="Z17" i="13"/>
  <c r="Z46" i="13"/>
  <c r="AH17" i="13"/>
  <c r="AI17" i="13"/>
  <c r="AH92" i="13"/>
  <c r="AH79" i="13"/>
  <c r="AH33" i="13"/>
  <c r="AH34" i="13"/>
  <c r="AH85" i="13"/>
  <c r="AH54" i="13"/>
  <c r="Y46" i="13"/>
  <c r="AB106" i="13"/>
  <c r="Z72" i="13"/>
  <c r="AE26" i="13"/>
  <c r="AE57" i="13"/>
  <c r="AA52" i="13"/>
  <c r="AB30" i="13"/>
  <c r="AC90" i="13"/>
  <c r="AB79" i="13"/>
  <c r="AH83" i="13"/>
  <c r="AH25" i="13"/>
  <c r="AH90" i="13"/>
  <c r="AC58" i="13"/>
  <c r="AE79" i="13"/>
  <c r="Z47" i="13"/>
  <c r="AC99" i="13"/>
  <c r="AD86" i="13"/>
  <c r="AD89" i="13"/>
  <c r="AC19" i="13"/>
  <c r="AA74" i="13"/>
  <c r="AF88" i="13"/>
  <c r="AJ41" i="13"/>
  <c r="AJ14" i="13"/>
  <c r="AH95" i="13"/>
  <c r="AH19" i="13"/>
  <c r="AA58" i="13"/>
  <c r="AA47" i="13"/>
  <c r="AA68" i="13"/>
  <c r="AC108" i="13"/>
  <c r="Y86" i="13"/>
  <c r="Y75" i="13"/>
  <c r="AA108" i="13"/>
  <c r="AE87" i="13"/>
  <c r="AC72" i="13"/>
  <c r="AA86" i="13"/>
  <c r="AF22" i="13"/>
  <c r="AF105" i="13"/>
  <c r="AH103" i="13"/>
  <c r="AH108" i="13"/>
  <c r="AH38" i="13"/>
  <c r="AI94" i="13"/>
  <c r="AE58" i="13"/>
  <c r="AD47" i="13"/>
  <c r="AC97" i="13"/>
  <c r="AB75" i="13"/>
  <c r="Y32" i="13"/>
  <c r="AF112" i="13"/>
  <c r="AI101" i="13"/>
  <c r="AH30" i="13"/>
  <c r="Y17" i="13"/>
  <c r="AE54" i="13"/>
  <c r="AD32" i="13"/>
  <c r="AA43" i="13"/>
  <c r="AE20" i="13"/>
  <c r="AH42" i="13"/>
  <c r="AI107" i="13"/>
  <c r="AJ83" i="13"/>
  <c r="AH74" i="13"/>
  <c r="AH66" i="13"/>
  <c r="AD58" i="13"/>
  <c r="Z92" i="13"/>
  <c r="AE59" i="13"/>
  <c r="AD43" i="13"/>
  <c r="AH50" i="13"/>
  <c r="AH49" i="13"/>
  <c r="AH86" i="13"/>
  <c r="AH102" i="13"/>
  <c r="Y58" i="13"/>
  <c r="AE109" i="13"/>
  <c r="AA103" i="13"/>
  <c r="AH78" i="13"/>
  <c r="AH91" i="13"/>
  <c r="AG71" i="13"/>
  <c r="AG99" i="13"/>
  <c r="AG90" i="13"/>
  <c r="AG98" i="13"/>
  <c r="AG106" i="13"/>
  <c r="AG95" i="13"/>
  <c r="AG38" i="13"/>
  <c r="AG16" i="13"/>
  <c r="AG65" i="13"/>
  <c r="AG34" i="13"/>
  <c r="AG21" i="13"/>
  <c r="AG67" i="13"/>
  <c r="AG24" i="13"/>
  <c r="AG62" i="13"/>
  <c r="AG40" i="13"/>
  <c r="AG77" i="13"/>
  <c r="AG50" i="13"/>
  <c r="AG60" i="13"/>
  <c r="AG33" i="13"/>
  <c r="AG26" i="13"/>
  <c r="AG36" i="13"/>
  <c r="AG74" i="13"/>
  <c r="AG52" i="13"/>
  <c r="AG89" i="13"/>
  <c r="AG86" i="13"/>
  <c r="AG32" i="13"/>
  <c r="AG57" i="13"/>
  <c r="AG72" i="13"/>
  <c r="AG13" i="13"/>
  <c r="AG110" i="13"/>
  <c r="AG64" i="13"/>
  <c r="AG101" i="13"/>
  <c r="AG28" i="13"/>
  <c r="AG104" i="13"/>
  <c r="AG82" i="13"/>
  <c r="AG19" i="13"/>
  <c r="AG31" i="13"/>
  <c r="AG84" i="13"/>
  <c r="AG25" i="13"/>
  <c r="AG15" i="13"/>
  <c r="AG76" i="13"/>
  <c r="AG12" i="13"/>
  <c r="AG18" i="13"/>
  <c r="AG44" i="13"/>
  <c r="AG105" i="13"/>
  <c r="AG22" i="13"/>
  <c r="AG43" i="13"/>
  <c r="AG45" i="13"/>
  <c r="AG108" i="13"/>
  <c r="AG37" i="13"/>
  <c r="AG27" i="13"/>
  <c r="AG88" i="13"/>
  <c r="AG30" i="13"/>
  <c r="AG68" i="13"/>
  <c r="AG70" i="13"/>
  <c r="AG23" i="13"/>
  <c r="AG55" i="13"/>
  <c r="AG93" i="13"/>
  <c r="AG61" i="13"/>
  <c r="AG39" i="13"/>
  <c r="AG100" i="13"/>
  <c r="AG42" i="13"/>
  <c r="AG92" i="13"/>
  <c r="AG96" i="13"/>
  <c r="AG59" i="13"/>
  <c r="AG79" i="13"/>
  <c r="AG46" i="13"/>
  <c r="AG73" i="13"/>
  <c r="AG51" i="13"/>
  <c r="AG112" i="13"/>
  <c r="AG54" i="13"/>
  <c r="AG81" i="13"/>
  <c r="AG20" i="13"/>
  <c r="AG107" i="13"/>
  <c r="AG91" i="13"/>
  <c r="AG94" i="13"/>
  <c r="AG35" i="13"/>
  <c r="AG63" i="13"/>
  <c r="AG17" i="13"/>
  <c r="AG66" i="13"/>
  <c r="AG58" i="13"/>
  <c r="AG80" i="13"/>
  <c r="AG48" i="13"/>
  <c r="AG103" i="13"/>
  <c r="AG47" i="13"/>
  <c r="AG109" i="13"/>
  <c r="AG75" i="13"/>
  <c r="AG29" i="13"/>
  <c r="AG78" i="13"/>
  <c r="AG49" i="13"/>
  <c r="AG69" i="13"/>
  <c r="AG97" i="13"/>
  <c r="AF106" i="13"/>
  <c r="AF95" i="13"/>
  <c r="AF54" i="13"/>
  <c r="AF61" i="13"/>
  <c r="AF110" i="13"/>
  <c r="AF21" i="13"/>
  <c r="AF20" i="13"/>
  <c r="AF57" i="13"/>
  <c r="AF28" i="13"/>
  <c r="AF23" i="13"/>
  <c r="AF72" i="13"/>
  <c r="AF79" i="13"/>
  <c r="AF83" i="13"/>
  <c r="AF32" i="13"/>
  <c r="AF66" i="13"/>
  <c r="AF63" i="13"/>
  <c r="AF34" i="13"/>
  <c r="AF29" i="13"/>
  <c r="AF78" i="13"/>
  <c r="AF13" i="13"/>
  <c r="AF85" i="13"/>
  <c r="AF62" i="13"/>
  <c r="AF27" i="13"/>
  <c r="AF44" i="13"/>
  <c r="AF69" i="13"/>
  <c r="AF40" i="13"/>
  <c r="AF35" i="13"/>
  <c r="AF84" i="13"/>
  <c r="AF19" i="13"/>
  <c r="AF91" i="13"/>
  <c r="AF98" i="13"/>
  <c r="AF39" i="13"/>
  <c r="AF56" i="13"/>
  <c r="AF73" i="13"/>
  <c r="AF14" i="13"/>
  <c r="AF75" i="13"/>
  <c r="AF46" i="13"/>
  <c r="AF41" i="13"/>
  <c r="AF18" i="13"/>
  <c r="AF90" i="13"/>
  <c r="AF25" i="13"/>
  <c r="AF97" i="13"/>
  <c r="AF76" i="13"/>
  <c r="AF99" i="13"/>
  <c r="AF68" i="13"/>
  <c r="AF26" i="13"/>
  <c r="AF81" i="13"/>
  <c r="AF52" i="13"/>
  <c r="AF47" i="13"/>
  <c r="AF24" i="13"/>
  <c r="AF96" i="13"/>
  <c r="AF31" i="13"/>
  <c r="AF103" i="13"/>
  <c r="AF93" i="13"/>
  <c r="AF16" i="13"/>
  <c r="AF80" i="13"/>
  <c r="AF87" i="13"/>
  <c r="AF58" i="13"/>
  <c r="AF53" i="13"/>
  <c r="AF30" i="13"/>
  <c r="AF102" i="13"/>
  <c r="AF37" i="13"/>
  <c r="AF109" i="13"/>
  <c r="AF38" i="13"/>
  <c r="AF100" i="13"/>
  <c r="AF92" i="13"/>
  <c r="AF111" i="13"/>
  <c r="AF64" i="13"/>
  <c r="AF59" i="13"/>
  <c r="AF36" i="13"/>
  <c r="AF108" i="13"/>
  <c r="AF43" i="13"/>
  <c r="AF50" i="13"/>
  <c r="AF77" i="13"/>
  <c r="AF104" i="13"/>
  <c r="AF70" i="13"/>
  <c r="AF65" i="13"/>
  <c r="AF42" i="13"/>
  <c r="AF49" i="13"/>
  <c r="AF74" i="13"/>
  <c r="AF45" i="13"/>
  <c r="AF33" i="13"/>
  <c r="AF82" i="13"/>
  <c r="AF89" i="13"/>
  <c r="AF48" i="13"/>
  <c r="AF55" i="13"/>
  <c r="AF86" i="13"/>
  <c r="AF71" i="13"/>
  <c r="AF12" i="13"/>
  <c r="AA51" i="13"/>
  <c r="AC81" i="13"/>
  <c r="Y19" i="13"/>
  <c r="Z43" i="13"/>
  <c r="AB92" i="13"/>
  <c r="AD22" i="13"/>
  <c r="AA46" i="13"/>
  <c r="AB58" i="13"/>
  <c r="AB82" i="13"/>
  <c r="AC32" i="13"/>
  <c r="AE35" i="13"/>
  <c r="Y47" i="13"/>
  <c r="Z71" i="13"/>
  <c r="AD83" i="13"/>
  <c r="AE107" i="13"/>
  <c r="AD36" i="13"/>
  <c r="AB72" i="13"/>
  <c r="AC17" i="13"/>
  <c r="AD101" i="13"/>
  <c r="AA20" i="13"/>
  <c r="Z24" i="13"/>
  <c r="AE108" i="13"/>
  <c r="AE92" i="13"/>
  <c r="Y105" i="13"/>
  <c r="AC13" i="13"/>
  <c r="AE49" i="13"/>
  <c r="AE73" i="13"/>
  <c r="AD109" i="13"/>
  <c r="AB29" i="13"/>
  <c r="Y21" i="13"/>
  <c r="AE74" i="13"/>
  <c r="AA39" i="13"/>
  <c r="Y51" i="13"/>
  <c r="AB65" i="13"/>
  <c r="AA57" i="13"/>
  <c r="AB33" i="13"/>
  <c r="AD28" i="13"/>
  <c r="Y52" i="13"/>
  <c r="AE64" i="13"/>
  <c r="Y88" i="13"/>
  <c r="AE112" i="13"/>
  <c r="AD18" i="13"/>
  <c r="Z42" i="13"/>
  <c r="Z78" i="13"/>
  <c r="AE90" i="13"/>
  <c r="AB32" i="13"/>
  <c r="Z76" i="13"/>
  <c r="AB19" i="13"/>
  <c r="AC43" i="13"/>
  <c r="AA67" i="13"/>
  <c r="Z53" i="13"/>
  <c r="AC44" i="13"/>
  <c r="Z34" i="13"/>
  <c r="Y49" i="13"/>
  <c r="AC111" i="13"/>
  <c r="AD51" i="13"/>
  <c r="Y28" i="13"/>
  <c r="Y112" i="13"/>
  <c r="Y25" i="13"/>
  <c r="Z103" i="13"/>
  <c r="Z86" i="13"/>
  <c r="Z26" i="13"/>
  <c r="AC22" i="13"/>
  <c r="AE46" i="13"/>
  <c r="AC70" i="13"/>
  <c r="AA94" i="13"/>
  <c r="AD98" i="13"/>
  <c r="AA35" i="13"/>
  <c r="AB47" i="13"/>
  <c r="AE71" i="13"/>
  <c r="Y83" i="13"/>
  <c r="Z107" i="13"/>
  <c r="AB36" i="13"/>
  <c r="AB17" i="13"/>
  <c r="AC69" i="13"/>
  <c r="AA32" i="13"/>
  <c r="AE60" i="13"/>
  <c r="AC45" i="13"/>
  <c r="AB105" i="13"/>
  <c r="Z13" i="13"/>
  <c r="AA25" i="13"/>
  <c r="Z97" i="13"/>
  <c r="AE29" i="13"/>
  <c r="AB21" i="13"/>
  <c r="AD26" i="13"/>
  <c r="AE50" i="13"/>
  <c r="Z15" i="13"/>
  <c r="AD39" i="13"/>
  <c r="AB51" i="13"/>
  <c r="AE111" i="13"/>
  <c r="AE65" i="13"/>
  <c r="AD57" i="13"/>
  <c r="AC87" i="13"/>
  <c r="AA41" i="13"/>
  <c r="AE33" i="13"/>
  <c r="AB28" i="13"/>
  <c r="AC52" i="13"/>
  <c r="AA76" i="13"/>
  <c r="AD88" i="13"/>
  <c r="Z81" i="13"/>
  <c r="AC18" i="13"/>
  <c r="AC42" i="13"/>
  <c r="AD54" i="13"/>
  <c r="AE78" i="13"/>
  <c r="Y90" i="13"/>
  <c r="Z100" i="13"/>
  <c r="Y43" i="13"/>
  <c r="AD67" i="13"/>
  <c r="AB103" i="13"/>
  <c r="Z89" i="13"/>
  <c r="Y44" i="13"/>
  <c r="Z22" i="13"/>
  <c r="AC61" i="13"/>
  <c r="Z16" i="13"/>
  <c r="Z38" i="13"/>
  <c r="Z110" i="13"/>
  <c r="AE56" i="13"/>
  <c r="Z55" i="13"/>
  <c r="AE55" i="13"/>
  <c r="Z98" i="13"/>
  <c r="Y22" i="13"/>
  <c r="AA70" i="13"/>
  <c r="AD94" i="13"/>
  <c r="Z20" i="13"/>
  <c r="AD35" i="13"/>
  <c r="AA71" i="13"/>
  <c r="AB83" i="13"/>
  <c r="AD72" i="13"/>
  <c r="AE17" i="13"/>
  <c r="Z69" i="13"/>
  <c r="AA44" i="13"/>
  <c r="AC24" i="13"/>
  <c r="Z84" i="13"/>
  <c r="Y53" i="13"/>
  <c r="Z45" i="13"/>
  <c r="AE105" i="13"/>
  <c r="Y13" i="13"/>
  <c r="AD25" i="13"/>
  <c r="AA49" i="13"/>
  <c r="AA73" i="13"/>
  <c r="AB97" i="13"/>
  <c r="AE21" i="13"/>
  <c r="AA14" i="13"/>
  <c r="AC26" i="13"/>
  <c r="AE98" i="13"/>
  <c r="AE15" i="13"/>
  <c r="AC39" i="13"/>
  <c r="AC106" i="13"/>
  <c r="AE63" i="13"/>
  <c r="Z87" i="13"/>
  <c r="AD41" i="13"/>
  <c r="AA16" i="13"/>
  <c r="AD52" i="13"/>
  <c r="Y76" i="13"/>
  <c r="AE88" i="13"/>
  <c r="Y81" i="13"/>
  <c r="Y18" i="13"/>
  <c r="Y54" i="13"/>
  <c r="AC78" i="13"/>
  <c r="AE32" i="13"/>
  <c r="Z112" i="13"/>
  <c r="AE31" i="13"/>
  <c r="AB43" i="13"/>
  <c r="Y67" i="13"/>
  <c r="AE91" i="13"/>
  <c r="Z12" i="13"/>
  <c r="Z101" i="13"/>
  <c r="AD44" i="13"/>
  <c r="Z70" i="13"/>
  <c r="Y73" i="13"/>
  <c r="Z40" i="13"/>
  <c r="AE39" i="13"/>
  <c r="AA90" i="13"/>
  <c r="AB22" i="13"/>
  <c r="AD46" i="13"/>
  <c r="AC94" i="13"/>
  <c r="Z32" i="13"/>
  <c r="Z23" i="13"/>
  <c r="AC35" i="13"/>
  <c r="AC59" i="13"/>
  <c r="AD71" i="13"/>
  <c r="Z95" i="13"/>
  <c r="AE36" i="13"/>
  <c r="AA56" i="13"/>
  <c r="AD24" i="13"/>
  <c r="AC53" i="13"/>
  <c r="AA105" i="13"/>
  <c r="AB13" i="13"/>
  <c r="AC37" i="13"/>
  <c r="AD49" i="13"/>
  <c r="AD73" i="13"/>
  <c r="AE97" i="13"/>
  <c r="Z99" i="13"/>
  <c r="AA29" i="13"/>
  <c r="Z14" i="13"/>
  <c r="Y26" i="13"/>
  <c r="AD50" i="13"/>
  <c r="Y98" i="13"/>
  <c r="AA15" i="13"/>
  <c r="Y39" i="13"/>
  <c r="AA65" i="13"/>
  <c r="AA24" i="13"/>
  <c r="Z63" i="13"/>
  <c r="AA87" i="13"/>
  <c r="AC80" i="13"/>
  <c r="AA33" i="13"/>
  <c r="Y16" i="13"/>
  <c r="AE28" i="13"/>
  <c r="AB52" i="13"/>
  <c r="AC76" i="13"/>
  <c r="AA100" i="13"/>
  <c r="Y77" i="13"/>
  <c r="AB81" i="13"/>
  <c r="Z102" i="13"/>
  <c r="AC68" i="13"/>
  <c r="AA31" i="13"/>
  <c r="AA91" i="13"/>
  <c r="AB44" i="13"/>
  <c r="Z93" i="13"/>
  <c r="Z106" i="13"/>
  <c r="Y85" i="13"/>
  <c r="Z64" i="13"/>
  <c r="Y38" i="13"/>
  <c r="AA42" i="13"/>
  <c r="Z74" i="13"/>
  <c r="Y94" i="13"/>
  <c r="Y35" i="13"/>
  <c r="Y71" i="13"/>
  <c r="AC107" i="13"/>
  <c r="Z48" i="13"/>
  <c r="AE72" i="13"/>
  <c r="AB24" i="13"/>
  <c r="AC84" i="13"/>
  <c r="AB53" i="13"/>
  <c r="Y45" i="13"/>
  <c r="AD105" i="13"/>
  <c r="AE13" i="13"/>
  <c r="Z37" i="13"/>
  <c r="Z61" i="13"/>
  <c r="AA97" i="13"/>
  <c r="AE99" i="13"/>
  <c r="AD29" i="13"/>
  <c r="AA21" i="13"/>
  <c r="AE14" i="13"/>
  <c r="AB26" i="13"/>
  <c r="Y50" i="13"/>
  <c r="AD74" i="13"/>
  <c r="AB98" i="13"/>
  <c r="AD15" i="13"/>
  <c r="AB39" i="13"/>
  <c r="Z111" i="13"/>
  <c r="AD65" i="13"/>
  <c r="AA36" i="13"/>
  <c r="AC63" i="13"/>
  <c r="AD87" i="13"/>
  <c r="AB80" i="13"/>
  <c r="AD33" i="13"/>
  <c r="AC16" i="13"/>
  <c r="AA40" i="13"/>
  <c r="AB76" i="13"/>
  <c r="Y100" i="13"/>
  <c r="Y89" i="13"/>
  <c r="AC77" i="13"/>
  <c r="AE81" i="13"/>
  <c r="Z30" i="13"/>
  <c r="Z66" i="13"/>
  <c r="Y68" i="13"/>
  <c r="AD31" i="13"/>
  <c r="AC55" i="13"/>
  <c r="Y93" i="13"/>
  <c r="Y24" i="13"/>
  <c r="Y109" i="13"/>
  <c r="Z88" i="13"/>
  <c r="Z91" i="13"/>
  <c r="AC91" i="13"/>
  <c r="AB95" i="13"/>
  <c r="AA54" i="13"/>
  <c r="AD70" i="13"/>
  <c r="AE23" i="13"/>
  <c r="Y69" i="13"/>
  <c r="Z67" i="13"/>
  <c r="AA102" i="13"/>
  <c r="AE34" i="13"/>
  <c r="AB46" i="13"/>
  <c r="Y70" i="13"/>
  <c r="AB94" i="13"/>
  <c r="Z56" i="13"/>
  <c r="AA23" i="13"/>
  <c r="AB35" i="13"/>
  <c r="Z59" i="13"/>
  <c r="AB71" i="13"/>
  <c r="AA107" i="13"/>
  <c r="AC48" i="13"/>
  <c r="Z96" i="13"/>
  <c r="AD17" i="13"/>
  <c r="AB69" i="13"/>
  <c r="AA80" i="13"/>
  <c r="AB84" i="13"/>
  <c r="AE53" i="13"/>
  <c r="AB45" i="13"/>
  <c r="AE103" i="13"/>
  <c r="AB37" i="13"/>
  <c r="AB61" i="13"/>
  <c r="AC85" i="13"/>
  <c r="AD97" i="13"/>
  <c r="AA99" i="13"/>
  <c r="AD104" i="13"/>
  <c r="AD21" i="13"/>
  <c r="AB50" i="13"/>
  <c r="Y74" i="13"/>
  <c r="AD110" i="13"/>
  <c r="AC15" i="13"/>
  <c r="Z75" i="13"/>
  <c r="AA111" i="13"/>
  <c r="AC57" i="13"/>
  <c r="AA48" i="13"/>
  <c r="Z27" i="13"/>
  <c r="AA63" i="13"/>
  <c r="Y87" i="13"/>
  <c r="Y80" i="13"/>
  <c r="AE70" i="13"/>
  <c r="AD16" i="13"/>
  <c r="Y40" i="13"/>
  <c r="AE52" i="13"/>
  <c r="AD76" i="13"/>
  <c r="AD100" i="13"/>
  <c r="AC89" i="13"/>
  <c r="AB77" i="13"/>
  <c r="AA81" i="13"/>
  <c r="AD42" i="13"/>
  <c r="AD78" i="13"/>
  <c r="AD102" i="13"/>
  <c r="AD68" i="13"/>
  <c r="AC31" i="13"/>
  <c r="AA55" i="13"/>
  <c r="AC79" i="13"/>
  <c r="Y91" i="13"/>
  <c r="AC12" i="13"/>
  <c r="AE44" i="13"/>
  <c r="AC93" i="13"/>
  <c r="Y36" i="13"/>
  <c r="Y37" i="13"/>
  <c r="AC112" i="13"/>
  <c r="Z62" i="13"/>
  <c r="AA66" i="13"/>
  <c r="AB70" i="13"/>
  <c r="AA106" i="13"/>
  <c r="AD23" i="13"/>
  <c r="AC95" i="13"/>
  <c r="AD107" i="13"/>
  <c r="AD96" i="13"/>
  <c r="Y101" i="13"/>
  <c r="AE69" i="13"/>
  <c r="AA92" i="13"/>
  <c r="AE24" i="13"/>
  <c r="AD84" i="13"/>
  <c r="AE45" i="13"/>
  <c r="AC49" i="13"/>
  <c r="AA13" i="13"/>
  <c r="AE37" i="13"/>
  <c r="AE61" i="13"/>
  <c r="Z85" i="13"/>
  <c r="AC109" i="13"/>
  <c r="AD99" i="13"/>
  <c r="AB104" i="13"/>
  <c r="AD14" i="13"/>
  <c r="AE38" i="13"/>
  <c r="AB74" i="13"/>
  <c r="AC110" i="13"/>
  <c r="Y15" i="13"/>
  <c r="AC75" i="13"/>
  <c r="AD111" i="13"/>
  <c r="Z57" i="13"/>
  <c r="AA60" i="13"/>
  <c r="AE27" i="13"/>
  <c r="AD63" i="13"/>
  <c r="AB87" i="13"/>
  <c r="AD80" i="13"/>
  <c r="Y61" i="13"/>
  <c r="AB16" i="13"/>
  <c r="AC40" i="13"/>
  <c r="AA64" i="13"/>
  <c r="AC100" i="13"/>
  <c r="AE77" i="13"/>
  <c r="AD81" i="13"/>
  <c r="Y42" i="13"/>
  <c r="AE66" i="13"/>
  <c r="Y78" i="13"/>
  <c r="AC102" i="13"/>
  <c r="AB68" i="13"/>
  <c r="Y31" i="13"/>
  <c r="AD55" i="13"/>
  <c r="AB91" i="13"/>
  <c r="AC20" i="13"/>
  <c r="AC56" i="13"/>
  <c r="AB93" i="13"/>
  <c r="Y48" i="13"/>
  <c r="AA26" i="13"/>
  <c r="Z29" i="13"/>
  <c r="AE25" i="13"/>
  <c r="AA12" i="13"/>
  <c r="AA18" i="13"/>
  <c r="AE106" i="13"/>
  <c r="AC23" i="13"/>
  <c r="AC47" i="13"/>
  <c r="AD59" i="13"/>
  <c r="AE83" i="13"/>
  <c r="AE95" i="13"/>
  <c r="Y107" i="13"/>
  <c r="AD48" i="13"/>
  <c r="AC96" i="13"/>
  <c r="AA104" i="13"/>
  <c r="Z60" i="13"/>
  <c r="AE84" i="13"/>
  <c r="AA53" i="13"/>
  <c r="AC104" i="13"/>
  <c r="AD13" i="13"/>
  <c r="AB85" i="13"/>
  <c r="Y99" i="13"/>
  <c r="Y104" i="13"/>
  <c r="Y108" i="13"/>
  <c r="AC14" i="13"/>
  <c r="AE62" i="13"/>
  <c r="AE110" i="13"/>
  <c r="AB15" i="13"/>
  <c r="Z51" i="13"/>
  <c r="AE75" i="13"/>
  <c r="Y111" i="13"/>
  <c r="AA72" i="13"/>
  <c r="AA27" i="13"/>
  <c r="Y63" i="13"/>
  <c r="Y97" i="13"/>
  <c r="AD40" i="13"/>
  <c r="Y64" i="13"/>
  <c r="AE76" i="13"/>
  <c r="AB100" i="13"/>
  <c r="AB89" i="13"/>
  <c r="AE94" i="13"/>
  <c r="AB42" i="13"/>
  <c r="Y102" i="13"/>
  <c r="AE19" i="13"/>
  <c r="Y55" i="13"/>
  <c r="AA79" i="13"/>
  <c r="AC103" i="13"/>
  <c r="Y12" i="13"/>
  <c r="Y20" i="13"/>
  <c r="Y56" i="13"/>
  <c r="AE93" i="13"/>
  <c r="Y60" i="13"/>
  <c r="AA38" i="13"/>
  <c r="Z41" i="13"/>
  <c r="Z50" i="13"/>
  <c r="Z35" i="13"/>
  <c r="AA30" i="13"/>
  <c r="AD106" i="13"/>
  <c r="Y23" i="13"/>
  <c r="Z83" i="13"/>
  <c r="AA95" i="13"/>
  <c r="AB107" i="13"/>
  <c r="AB48" i="13"/>
  <c r="AB96" i="13"/>
  <c r="AC101" i="13"/>
  <c r="AA69" i="13"/>
  <c r="AC60" i="13"/>
  <c r="Z108" i="13"/>
  <c r="AD53" i="13"/>
  <c r="AA45" i="13"/>
  <c r="Z58" i="13"/>
  <c r="AC25" i="13"/>
  <c r="AA37" i="13"/>
  <c r="AA61" i="13"/>
  <c r="AE85" i="13"/>
  <c r="Z109" i="13"/>
  <c r="AB99" i="13"/>
  <c r="AE104" i="13"/>
  <c r="Y14" i="13"/>
  <c r="AD38" i="13"/>
  <c r="AC86" i="13"/>
  <c r="Y110" i="13"/>
  <c r="AC51" i="13"/>
  <c r="AA75" i="13"/>
  <c r="AB111" i="13"/>
  <c r="Y57" i="13"/>
  <c r="AA84" i="13"/>
  <c r="AD27" i="13"/>
  <c r="AB63" i="13"/>
  <c r="Y41" i="13"/>
  <c r="AE80" i="13"/>
  <c r="AE16" i="13"/>
  <c r="AB40" i="13"/>
  <c r="AC64" i="13"/>
  <c r="AE100" i="13"/>
  <c r="AE89" i="13"/>
  <c r="AA77" i="13"/>
  <c r="AC73" i="13"/>
  <c r="Z18" i="13"/>
  <c r="AD30" i="13"/>
  <c r="Z54" i="13"/>
  <c r="Z90" i="13"/>
  <c r="AB102" i="13"/>
  <c r="AE68" i="13"/>
  <c r="AB55" i="13"/>
  <c r="AB12" i="13"/>
  <c r="AD20" i="13"/>
  <c r="AD56" i="13"/>
  <c r="AA93" i="13"/>
  <c r="Y72" i="13"/>
  <c r="AA50" i="13"/>
  <c r="Z65" i="13"/>
  <c r="AE48" i="13"/>
  <c r="Z19" i="13"/>
  <c r="Z79" i="13"/>
  <c r="AA78" i="13"/>
  <c r="Z31" i="13"/>
  <c r="AA22" i="13"/>
  <c r="Y34" i="13"/>
  <c r="AE82" i="13"/>
  <c r="Y106" i="13"/>
  <c r="Z104" i="13"/>
  <c r="AB23" i="13"/>
  <c r="AE47" i="13"/>
  <c r="AB59" i="13"/>
  <c r="AD95" i="13"/>
  <c r="Z36" i="13"/>
  <c r="AE96" i="13"/>
  <c r="AB101" i="13"/>
  <c r="AD69" i="13"/>
  <c r="AD108" i="13"/>
  <c r="Y92" i="13"/>
  <c r="AD45" i="13"/>
  <c r="Z82" i="13"/>
  <c r="Z25" i="13"/>
  <c r="AD37" i="13"/>
  <c r="AD61" i="13"/>
  <c r="AA85" i="13"/>
  <c r="AB109" i="13"/>
  <c r="AC29" i="13"/>
  <c r="AC21" i="13"/>
  <c r="AB14" i="13"/>
  <c r="AC38" i="13"/>
  <c r="AD62" i="13"/>
  <c r="AE86" i="13"/>
  <c r="AB110" i="13"/>
  <c r="AE51" i="13"/>
  <c r="AD75" i="13"/>
  <c r="AB57" i="13"/>
  <c r="AA96" i="13"/>
  <c r="AC27" i="13"/>
  <c r="AC41" i="13"/>
  <c r="Z33" i="13"/>
  <c r="AC28" i="13"/>
  <c r="AD64" i="13"/>
  <c r="AA88" i="13"/>
  <c r="AB112" i="13"/>
  <c r="AA89" i="13"/>
  <c r="AD77" i="13"/>
  <c r="AD112" i="13"/>
  <c r="AC30" i="13"/>
  <c r="AC54" i="13"/>
  <c r="AD66" i="13"/>
  <c r="AD90" i="13"/>
  <c r="AC82" i="13"/>
  <c r="AD19" i="13"/>
  <c r="AE43" i="13"/>
  <c r="Y79" i="13"/>
  <c r="AE12" i="13"/>
  <c r="AB20" i="13"/>
  <c r="AB56" i="13"/>
  <c r="AD93" i="13"/>
  <c r="Y84" i="13"/>
  <c r="AC62" i="13"/>
  <c r="Z77" i="13"/>
  <c r="AG87" i="14"/>
  <c r="AJ15" i="14"/>
  <c r="AD34" i="14"/>
  <c r="AD26" i="14"/>
  <c r="AA30" i="14"/>
  <c r="AA24" i="14"/>
  <c r="AG19" i="14"/>
  <c r="AJ19" i="14"/>
  <c r="AA50" i="14"/>
  <c r="AJ36" i="14"/>
  <c r="AG30" i="14"/>
  <c r="AD102" i="14"/>
  <c r="AJ30" i="14"/>
  <c r="AA16" i="14"/>
  <c r="AJ21" i="14"/>
  <c r="AG21" i="14"/>
  <c r="AD88" i="14"/>
  <c r="AA77" i="14"/>
  <c r="AG77" i="14"/>
  <c r="AA36" i="14"/>
  <c r="AD33" i="14"/>
  <c r="AD16" i="14"/>
  <c r="AD36" i="14"/>
  <c r="AD77" i="14"/>
  <c r="AA33" i="14"/>
  <c r="AA21" i="14"/>
  <c r="AD43" i="14"/>
  <c r="AA28" i="14"/>
  <c r="AD71" i="14"/>
  <c r="AJ33" i="14"/>
  <c r="AJ18" i="14"/>
  <c r="AD18" i="14"/>
  <c r="AF28" i="14"/>
  <c r="AI28" i="14"/>
  <c r="Z28" i="14"/>
  <c r="Z36" i="14"/>
  <c r="AC26" i="14"/>
  <c r="AC36" i="14"/>
  <c r="AC23" i="14"/>
  <c r="AI23" i="14"/>
  <c r="Z17" i="14"/>
  <c r="Z37" i="14"/>
  <c r="AC38" i="14"/>
  <c r="AI38" i="14"/>
  <c r="AF88" i="14"/>
  <c r="AC50" i="14"/>
  <c r="AF90" i="14"/>
  <c r="AI90" i="14"/>
  <c r="AF34" i="14"/>
  <c r="AI34" i="14"/>
  <c r="AF72" i="14"/>
  <c r="AI75" i="14"/>
  <c r="Z32" i="14"/>
  <c r="AC97" i="14"/>
  <c r="AF64" i="14"/>
  <c r="AI64" i="14"/>
  <c r="AF102" i="14"/>
  <c r="AI102" i="14"/>
  <c r="AC28" i="14"/>
  <c r="AC86" i="14"/>
  <c r="AC57" i="14"/>
  <c r="Z76" i="14"/>
  <c r="AI76" i="14"/>
  <c r="AF76" i="14"/>
  <c r="AC90" i="14"/>
  <c r="AC37" i="14"/>
  <c r="Z104" i="14"/>
  <c r="Z88" i="14"/>
  <c r="AC55" i="14"/>
  <c r="AF57" i="14"/>
  <c r="AF20" i="14"/>
  <c r="AI20" i="14"/>
  <c r="AC20" i="14"/>
  <c r="Z97" i="14"/>
  <c r="AF26" i="14"/>
  <c r="AI26" i="14"/>
  <c r="AI100" i="14"/>
  <c r="Z72" i="14"/>
  <c r="Z75" i="14"/>
  <c r="Z57" i="14"/>
  <c r="AF98" i="14"/>
  <c r="AI98" i="14"/>
  <c r="AC104" i="14"/>
  <c r="AC72" i="14"/>
  <c r="AC67" i="14"/>
  <c r="Z38" i="14"/>
  <c r="AI39" i="14"/>
  <c r="AF39" i="14"/>
  <c r="Z39" i="14"/>
  <c r="AF82" i="14"/>
  <c r="AI82" i="14"/>
  <c r="AC64" i="14"/>
  <c r="AF38" i="14"/>
  <c r="AF86" i="14"/>
  <c r="AI86" i="14"/>
  <c r="AI43" i="14"/>
  <c r="AF43" i="14"/>
  <c r="Z43" i="14"/>
  <c r="AF41" i="14"/>
  <c r="AI41" i="14"/>
  <c r="Z41" i="14"/>
  <c r="AB34" i="14"/>
  <c r="AH25" i="14"/>
  <c r="Y34" i="14"/>
  <c r="AB48" i="14"/>
  <c r="Y88" i="14"/>
  <c r="Y22" i="14"/>
  <c r="Y91" i="14"/>
  <c r="Y14" i="14"/>
  <c r="AB24" i="14"/>
  <c r="AA37" i="14"/>
  <c r="AD65" i="14"/>
  <c r="AD28" i="14"/>
  <c r="AA47" i="14"/>
  <c r="AJ47" i="14"/>
  <c r="AG47" i="14"/>
  <c r="AG95" i="14"/>
  <c r="AD75" i="14"/>
  <c r="AG28" i="14"/>
  <c r="AJ29" i="14"/>
  <c r="AA35" i="14"/>
  <c r="AG20" i="14"/>
  <c r="AJ20" i="14"/>
  <c r="AD20" i="14"/>
  <c r="AG26" i="14"/>
  <c r="AJ26" i="14"/>
  <c r="AD41" i="14"/>
  <c r="AJ91" i="14"/>
  <c r="AA91" i="14"/>
  <c r="AG91" i="14"/>
  <c r="AJ57" i="14"/>
  <c r="AA41" i="14"/>
  <c r="AD87" i="14"/>
  <c r="AG41" i="14"/>
  <c r="AD37" i="14"/>
  <c r="AA109" i="14"/>
  <c r="AG37" i="14"/>
  <c r="AG71" i="14"/>
  <c r="AA101" i="14"/>
  <c r="AG24" i="14"/>
  <c r="AJ24" i="14"/>
  <c r="AA15" i="14"/>
  <c r="AA71" i="14"/>
  <c r="AJ35" i="14"/>
  <c r="AD35" i="14"/>
  <c r="AD29" i="14"/>
  <c r="AA87" i="14"/>
  <c r="AJ95" i="14"/>
  <c r="AA29" i="14"/>
  <c r="AA95" i="14"/>
  <c r="AD91" i="14"/>
  <c r="AA57" i="14"/>
  <c r="AB111" i="14"/>
  <c r="AB60" i="14"/>
  <c r="AB83" i="14"/>
  <c r="AH43" i="14"/>
  <c r="AE18" i="14"/>
  <c r="AH26" i="14"/>
  <c r="AB96" i="14"/>
  <c r="Y23" i="14"/>
  <c r="AE12" i="14"/>
  <c r="AE60" i="14"/>
  <c r="Y12" i="14"/>
  <c r="AH60" i="14"/>
  <c r="Y26" i="14"/>
  <c r="Y18" i="14"/>
  <c r="Y49" i="14"/>
  <c r="AH49" i="14"/>
  <c r="AE49" i="14"/>
  <c r="AB25" i="14"/>
  <c r="AE25" i="14"/>
  <c r="AH36" i="14"/>
  <c r="AH48" i="14"/>
  <c r="AE48" i="14"/>
  <c r="Y52" i="14"/>
  <c r="AE53" i="14"/>
  <c r="AH53" i="14"/>
  <c r="Y53" i="14"/>
  <c r="Y43" i="14"/>
  <c r="AB23" i="14"/>
  <c r="AE23" i="14"/>
  <c r="AB26" i="14"/>
  <c r="AB43" i="14"/>
  <c r="AH30" i="14"/>
  <c r="Y30" i="14"/>
  <c r="AB12" i="14"/>
  <c r="AE58" i="14"/>
  <c r="Y58" i="14"/>
  <c r="AE41" i="14"/>
  <c r="Y41" i="14"/>
  <c r="AH41" i="14"/>
  <c r="AH93" i="14"/>
  <c r="AE93" i="14"/>
  <c r="AH81" i="14"/>
  <c r="AE81" i="14"/>
  <c r="AH72" i="14"/>
  <c r="AE72" i="14"/>
  <c r="Y72" i="14"/>
  <c r="AH107" i="14"/>
  <c r="AE107" i="14"/>
  <c r="AH73" i="14"/>
  <c r="AE73" i="14"/>
  <c r="AH65" i="14"/>
  <c r="AE65" i="14"/>
  <c r="AJ40" i="14"/>
  <c r="AG40" i="14"/>
  <c r="AA40" i="14"/>
  <c r="AD40" i="14"/>
  <c r="AH47" i="14"/>
  <c r="AE47" i="14"/>
  <c r="Z66" i="14"/>
  <c r="AJ60" i="14"/>
  <c r="AG60" i="14"/>
  <c r="AJ44" i="14"/>
  <c r="AG44" i="14"/>
  <c r="AA44" i="14"/>
  <c r="AD44" i="14"/>
  <c r="AI51" i="14"/>
  <c r="AF51" i="14"/>
  <c r="AH33" i="14"/>
  <c r="AE33" i="14"/>
  <c r="AB55" i="14"/>
  <c r="AI46" i="14"/>
  <c r="AF46" i="14"/>
  <c r="AB21" i="14"/>
  <c r="AH21" i="14"/>
  <c r="AE21" i="14"/>
  <c r="AH29" i="14"/>
  <c r="AB29" i="14"/>
  <c r="AE29" i="14"/>
  <c r="AJ59" i="14"/>
  <c r="AG59" i="14"/>
  <c r="AF47" i="14"/>
  <c r="AI47" i="14"/>
  <c r="Z47" i="14"/>
  <c r="AJ43" i="14"/>
  <c r="AG43" i="14"/>
  <c r="AJ25" i="14"/>
  <c r="AG25" i="14"/>
  <c r="AH98" i="14"/>
  <c r="AE98" i="14"/>
  <c r="Y98" i="14"/>
  <c r="AJ64" i="14"/>
  <c r="AG64" i="14"/>
  <c r="AA64" i="14"/>
  <c r="AH46" i="14"/>
  <c r="AE46" i="14"/>
  <c r="Y46" i="14"/>
  <c r="AB46" i="14"/>
  <c r="AJ100" i="14"/>
  <c r="AG100" i="14"/>
  <c r="AB93" i="14"/>
  <c r="AJ88" i="14"/>
  <c r="AG88" i="14"/>
  <c r="AB81" i="14"/>
  <c r="AA106" i="14"/>
  <c r="AH70" i="14"/>
  <c r="AE70" i="14"/>
  <c r="Y70" i="14"/>
  <c r="AH82" i="14"/>
  <c r="AE82" i="14"/>
  <c r="Y82" i="14"/>
  <c r="AH67" i="14"/>
  <c r="AE67" i="14"/>
  <c r="Y67" i="14"/>
  <c r="AH83" i="14"/>
  <c r="AE83" i="14"/>
  <c r="AI54" i="14"/>
  <c r="AF54" i="14"/>
  <c r="AC54" i="14"/>
  <c r="Z54" i="14"/>
  <c r="AH69" i="14"/>
  <c r="AE69" i="14"/>
  <c r="Y69" i="14"/>
  <c r="AH88" i="14"/>
  <c r="AE88" i="14"/>
  <c r="AI61" i="14"/>
  <c r="AF61" i="14"/>
  <c r="AC45" i="14"/>
  <c r="AI40" i="14"/>
  <c r="AF40" i="14"/>
  <c r="AC40" i="14"/>
  <c r="Z51" i="14"/>
  <c r="AJ42" i="14"/>
  <c r="AG42" i="14"/>
  <c r="AC19" i="14"/>
  <c r="Y21" i="14"/>
  <c r="AH37" i="14"/>
  <c r="AE37" i="14"/>
  <c r="AI79" i="14"/>
  <c r="AF79" i="14"/>
  <c r="AH109" i="14"/>
  <c r="AE109" i="14"/>
  <c r="AH79" i="14"/>
  <c r="AE79" i="14"/>
  <c r="AJ78" i="14"/>
  <c r="AG78" i="14"/>
  <c r="AD78" i="14"/>
  <c r="AA78" i="14"/>
  <c r="AH103" i="14"/>
  <c r="AE103" i="14"/>
  <c r="AH105" i="14"/>
  <c r="AE105" i="14"/>
  <c r="Y107" i="14"/>
  <c r="AH68" i="14"/>
  <c r="AE68" i="14"/>
  <c r="AI52" i="14"/>
  <c r="AF52" i="14"/>
  <c r="Z52" i="14"/>
  <c r="AC52" i="14"/>
  <c r="AG75" i="14"/>
  <c r="AJ75" i="14"/>
  <c r="Z61" i="14"/>
  <c r="AI44" i="14"/>
  <c r="AF44" i="14"/>
  <c r="Z44" i="14"/>
  <c r="AA51" i="14"/>
  <c r="AI53" i="14"/>
  <c r="AF53" i="14"/>
  <c r="AJ45" i="14"/>
  <c r="AG45" i="14"/>
  <c r="AH57" i="14"/>
  <c r="AE57" i="14"/>
  <c r="Y57" i="14"/>
  <c r="AB57" i="14"/>
  <c r="AC51" i="14"/>
  <c r="Y33" i="14"/>
  <c r="Y29" i="14"/>
  <c r="AH31" i="14"/>
  <c r="AE31" i="14"/>
  <c r="AC47" i="14"/>
  <c r="AJ23" i="14"/>
  <c r="AG23" i="14"/>
  <c r="AF56" i="14"/>
  <c r="AI56" i="14"/>
  <c r="AC56" i="14"/>
  <c r="Z56" i="14"/>
  <c r="AJ112" i="14"/>
  <c r="AG112" i="14"/>
  <c r="AH97" i="14"/>
  <c r="AE97" i="14"/>
  <c r="AH85" i="14"/>
  <c r="AE85" i="14"/>
  <c r="AH77" i="14"/>
  <c r="AE77" i="14"/>
  <c r="AJ106" i="14"/>
  <c r="AG106" i="14"/>
  <c r="AJ76" i="14"/>
  <c r="AG76" i="14"/>
  <c r="AD76" i="14"/>
  <c r="AA76" i="14"/>
  <c r="Y78" i="14"/>
  <c r="AH78" i="14"/>
  <c r="AE78" i="14"/>
  <c r="AH63" i="14"/>
  <c r="AE63" i="14"/>
  <c r="AJ51" i="14"/>
  <c r="AG51" i="14"/>
  <c r="AJ52" i="14"/>
  <c r="AD52" i="14"/>
  <c r="AA52" i="14"/>
  <c r="AG52" i="14"/>
  <c r="AJ50" i="14"/>
  <c r="AG50" i="14"/>
  <c r="AJ73" i="14"/>
  <c r="AG73" i="14"/>
  <c r="AD73" i="14"/>
  <c r="AI35" i="14"/>
  <c r="AF35" i="14"/>
  <c r="AF19" i="14"/>
  <c r="AI19" i="14"/>
  <c r="AJ110" i="14"/>
  <c r="AG110" i="14"/>
  <c r="AD110" i="14"/>
  <c r="AH75" i="14"/>
  <c r="AE75" i="14"/>
  <c r="AJ74" i="14"/>
  <c r="AG74" i="14"/>
  <c r="AA74" i="14"/>
  <c r="AD74" i="14"/>
  <c r="AJ102" i="14"/>
  <c r="AG102" i="14"/>
  <c r="AB77" i="14"/>
  <c r="AH94" i="14"/>
  <c r="AE94" i="14"/>
  <c r="Y94" i="14"/>
  <c r="AB78" i="14"/>
  <c r="AB68" i="14"/>
  <c r="AH92" i="14"/>
  <c r="AE92" i="14"/>
  <c r="Y97" i="14"/>
  <c r="Z53" i="14"/>
  <c r="AH54" i="14"/>
  <c r="AE54" i="14"/>
  <c r="AB54" i="14"/>
  <c r="Y54" i="14"/>
  <c r="AG61" i="14"/>
  <c r="AJ61" i="14"/>
  <c r="AJ69" i="14"/>
  <c r="AG69" i="14"/>
  <c r="AB63" i="14"/>
  <c r="AH19" i="14"/>
  <c r="AE19" i="14"/>
  <c r="AB19" i="14"/>
  <c r="Y37" i="14"/>
  <c r="AI66" i="14"/>
  <c r="AF66" i="14"/>
  <c r="AH55" i="14"/>
  <c r="AE55" i="14"/>
  <c r="AE40" i="14"/>
  <c r="AH40" i="14"/>
  <c r="AJ108" i="14"/>
  <c r="AG108" i="14"/>
  <c r="AB97" i="14"/>
  <c r="AJ92" i="14"/>
  <c r="AG92" i="14"/>
  <c r="AB85" i="14"/>
  <c r="AJ72" i="14"/>
  <c r="AG72" i="14"/>
  <c r="AA72" i="14"/>
  <c r="AD72" i="14"/>
  <c r="AI77" i="14"/>
  <c r="Z77" i="14"/>
  <c r="AF77" i="14"/>
  <c r="AC77" i="14"/>
  <c r="AH71" i="14"/>
  <c r="AE71" i="14"/>
  <c r="AG65" i="14"/>
  <c r="AJ65" i="14"/>
  <c r="Y93" i="14"/>
  <c r="AH95" i="14"/>
  <c r="AE95" i="14"/>
  <c r="AD80" i="14"/>
  <c r="AH66" i="14"/>
  <c r="AE66" i="14"/>
  <c r="AI60" i="14"/>
  <c r="AF60" i="14"/>
  <c r="AE62" i="14"/>
  <c r="AH62" i="14"/>
  <c r="AA49" i="14"/>
  <c r="AC21" i="14"/>
  <c r="AF21" i="14"/>
  <c r="AI21" i="14"/>
  <c r="Z15" i="14"/>
  <c r="Y61" i="14"/>
  <c r="AJ53" i="14"/>
  <c r="AG53" i="14"/>
  <c r="AA53" i="14"/>
  <c r="Y31" i="14"/>
  <c r="AJ54" i="14"/>
  <c r="AG54" i="14"/>
  <c r="AC35" i="14"/>
  <c r="AF33" i="14"/>
  <c r="AI33" i="14"/>
  <c r="Y19" i="14"/>
  <c r="AC13" i="14"/>
  <c r="AJ98" i="14"/>
  <c r="AG98" i="14"/>
  <c r="AH112" i="14"/>
  <c r="AE112" i="14"/>
  <c r="Y112" i="14"/>
  <c r="AD108" i="14"/>
  <c r="AB109" i="14"/>
  <c r="AB100" i="14"/>
  <c r="AA104" i="14"/>
  <c r="AJ70" i="14"/>
  <c r="AG70" i="14"/>
  <c r="AD70" i="14"/>
  <c r="AA70" i="14"/>
  <c r="AH99" i="14"/>
  <c r="AE99" i="14"/>
  <c r="AB103" i="14"/>
  <c r="Y76" i="14"/>
  <c r="AH76" i="14"/>
  <c r="AE76" i="14"/>
  <c r="AB105" i="14"/>
  <c r="AH59" i="14"/>
  <c r="AE59" i="14"/>
  <c r="AB59" i="14"/>
  <c r="Y59" i="14"/>
  <c r="AA86" i="14"/>
  <c r="Y85" i="14"/>
  <c r="AB76" i="14"/>
  <c r="AB70" i="14"/>
  <c r="Z60" i="14"/>
  <c r="Y62" i="14"/>
  <c r="AI78" i="14"/>
  <c r="AF78" i="14"/>
  <c r="AE51" i="14"/>
  <c r="AH51" i="14"/>
  <c r="AB51" i="14"/>
  <c r="AJ58" i="14"/>
  <c r="AG58" i="14"/>
  <c r="AA58" i="14"/>
  <c r="AA82" i="14"/>
  <c r="AF69" i="14"/>
  <c r="AI69" i="14"/>
  <c r="Z69" i="14"/>
  <c r="AD61" i="14"/>
  <c r="AA69" i="14"/>
  <c r="AH35" i="14"/>
  <c r="AE35" i="14"/>
  <c r="AC61" i="14"/>
  <c r="AI29" i="14"/>
  <c r="AF29" i="14"/>
  <c r="AF17" i="14"/>
  <c r="AI17" i="14"/>
  <c r="AB17" i="14"/>
  <c r="Y17" i="14"/>
  <c r="AH17" i="14"/>
  <c r="AE17" i="14"/>
  <c r="AH80" i="14"/>
  <c r="AE80" i="14"/>
  <c r="Y80" i="14"/>
  <c r="AJ62" i="14"/>
  <c r="AG62" i="14"/>
  <c r="AD62" i="14"/>
  <c r="AH39" i="14"/>
  <c r="AE39" i="14"/>
  <c r="AB39" i="14"/>
  <c r="AH110" i="14"/>
  <c r="AE110" i="14"/>
  <c r="Y110" i="14"/>
  <c r="AH101" i="14"/>
  <c r="AE101" i="14"/>
  <c r="AA96" i="14"/>
  <c r="AH89" i="14"/>
  <c r="AE89" i="14"/>
  <c r="AA84" i="14"/>
  <c r="AH100" i="14"/>
  <c r="AE100" i="14"/>
  <c r="AJ68" i="14"/>
  <c r="AG68" i="14"/>
  <c r="AD68" i="14"/>
  <c r="AA68" i="14"/>
  <c r="AB75" i="14"/>
  <c r="AH90" i="14"/>
  <c r="AE90" i="14"/>
  <c r="Y90" i="14"/>
  <c r="AH91" i="14"/>
  <c r="AE91" i="14"/>
  <c r="AH64" i="14"/>
  <c r="AE64" i="14"/>
  <c r="Y64" i="14"/>
  <c r="AG79" i="14"/>
  <c r="AJ79" i="14"/>
  <c r="AB95" i="14"/>
  <c r="AJ66" i="14"/>
  <c r="AG66" i="14"/>
  <c r="AA66" i="14"/>
  <c r="AB66" i="14"/>
  <c r="AI42" i="14"/>
  <c r="AC42" i="14"/>
  <c r="AF42" i="14"/>
  <c r="Z42" i="14"/>
  <c r="Y50" i="14"/>
  <c r="AH50" i="14"/>
  <c r="AE50" i="14"/>
  <c r="AJ46" i="14"/>
  <c r="AG46" i="14"/>
  <c r="AA60" i="14"/>
  <c r="AD69" i="14"/>
  <c r="AI31" i="14"/>
  <c r="AF31" i="14"/>
  <c r="AD53" i="14"/>
  <c r="Z31" i="14"/>
  <c r="AI50" i="14"/>
  <c r="AF50" i="14"/>
  <c r="AB47" i="14"/>
  <c r="AJ90" i="14"/>
  <c r="AG90" i="14"/>
  <c r="Z35" i="14"/>
  <c r="Z21" i="14"/>
  <c r="AH108" i="14"/>
  <c r="AE108" i="14"/>
  <c r="Y108" i="14"/>
  <c r="AJ104" i="14"/>
  <c r="AG104" i="14"/>
  <c r="AH111" i="14"/>
  <c r="AE111" i="14"/>
  <c r="AH102" i="14"/>
  <c r="AE102" i="14"/>
  <c r="Y102" i="14"/>
  <c r="AJ86" i="14"/>
  <c r="AG86" i="14"/>
  <c r="AB72" i="14"/>
  <c r="AJ80" i="14"/>
  <c r="AG80" i="14"/>
  <c r="AI55" i="14"/>
  <c r="AF55" i="14"/>
  <c r="AJ48" i="14"/>
  <c r="AA48" i="14"/>
  <c r="AG48" i="14"/>
  <c r="AJ82" i="14"/>
  <c r="AG82" i="14"/>
  <c r="AI48" i="14"/>
  <c r="AF48" i="14"/>
  <c r="Z48" i="14"/>
  <c r="Y66" i="14"/>
  <c r="Y51" i="14"/>
  <c r="Z46" i="14"/>
  <c r="AB41" i="14"/>
  <c r="AB15" i="14"/>
  <c r="Y15" i="14"/>
  <c r="AH15" i="14"/>
  <c r="AE15" i="14"/>
  <c r="AC29" i="14"/>
  <c r="AF62" i="14"/>
  <c r="AI62" i="14"/>
  <c r="AC62" i="14"/>
  <c r="AG27" i="14"/>
  <c r="AD27" i="14"/>
  <c r="AJ27" i="14"/>
  <c r="AB40" i="14"/>
  <c r="AF13" i="14"/>
  <c r="AI13" i="14"/>
  <c r="AH106" i="14"/>
  <c r="AE106" i="14"/>
  <c r="Y106" i="14"/>
  <c r="AJ96" i="14"/>
  <c r="AG96" i="14"/>
  <c r="AJ84" i="14"/>
  <c r="AG84" i="14"/>
  <c r="AH74" i="14"/>
  <c r="AE74" i="14"/>
  <c r="Y74" i="14"/>
  <c r="AD64" i="14"/>
  <c r="AG63" i="14"/>
  <c r="AA63" i="14"/>
  <c r="AJ63" i="14"/>
  <c r="AJ49" i="14"/>
  <c r="AG49" i="14"/>
  <c r="AF45" i="14"/>
  <c r="AI45" i="14"/>
  <c r="AH61" i="14"/>
  <c r="AE61" i="14"/>
  <c r="AF15" i="14"/>
  <c r="AI15" i="14"/>
  <c r="AH104" i="14"/>
  <c r="AE104" i="14"/>
  <c r="Y104" i="14"/>
  <c r="AA112" i="14"/>
  <c r="AH96" i="14"/>
  <c r="AE96" i="14"/>
  <c r="AA98" i="14"/>
  <c r="AH86" i="14"/>
  <c r="AE86" i="14"/>
  <c r="Y86" i="14"/>
  <c r="Y77" i="14"/>
  <c r="AB73" i="14"/>
  <c r="AH84" i="14"/>
  <c r="AE84" i="14"/>
  <c r="AJ94" i="14"/>
  <c r="AG94" i="14"/>
  <c r="AA62" i="14"/>
  <c r="AB74" i="14"/>
  <c r="AH87" i="14"/>
  <c r="AE87" i="14"/>
  <c r="AC79" i="14"/>
  <c r="AB64" i="14"/>
  <c r="AJ67" i="14"/>
  <c r="AG67" i="14"/>
  <c r="AB65" i="14"/>
  <c r="AJ56" i="14"/>
  <c r="AG56" i="14"/>
  <c r="AD56" i="14"/>
  <c r="Z40" i="14"/>
  <c r="AJ55" i="14"/>
  <c r="AG55" i="14"/>
  <c r="AA55" i="14"/>
  <c r="Z78" i="14"/>
  <c r="Y47" i="14"/>
  <c r="AF67" i="14"/>
  <c r="AI67" i="14"/>
  <c r="AD45" i="14"/>
  <c r="AB33" i="14"/>
  <c r="AH52" i="14"/>
  <c r="AE52" i="14"/>
  <c r="AB13" i="14"/>
  <c r="Y13" i="14"/>
  <c r="AH13" i="14"/>
  <c r="AE13" i="14"/>
  <c r="Z29" i="14"/>
  <c r="AB50" i="14"/>
  <c r="AD25" i="14"/>
  <c r="AB35" i="14"/>
  <c r="C35" i="15" l="1"/>
  <c r="D34" i="15"/>
  <c r="K35" i="15"/>
  <c r="L34" i="15"/>
  <c r="D10" i="7" a="1"/>
  <c r="D10" i="7" s="1"/>
  <c r="C33" i="7"/>
  <c r="C34" i="7" s="1"/>
  <c r="D32" i="7"/>
  <c r="C32" i="7"/>
  <c r="K31" i="7"/>
  <c r="K32" i="7" s="1"/>
  <c r="D31" i="7"/>
  <c r="G33" i="7" a="1"/>
  <c r="J18" i="7" a="1"/>
  <c r="O25" i="7" a="1"/>
  <c r="M21" i="7" a="1"/>
  <c r="T18" i="7" a="1"/>
  <c r="K56" i="1" a="1"/>
  <c r="K52" i="7" a="1"/>
  <c r="R27" i="7" a="1"/>
  <c r="D27" i="7" a="1"/>
  <c r="M33" i="7" a="1"/>
  <c r="R17" i="7" a="1"/>
  <c r="E27" i="7" a="1"/>
  <c r="K49" i="7" a="1"/>
  <c r="M26" i="7" a="1"/>
  <c r="D21" i="7" a="1"/>
  <c r="E38" i="7" a="1"/>
  <c r="D17" i="7" a="1"/>
  <c r="D20" i="7" a="1"/>
  <c r="N13" i="7" a="1"/>
  <c r="J22" i="7" a="1"/>
  <c r="K59" i="1" a="1"/>
  <c r="E48" i="7" a="1"/>
  <c r="E37" i="7" a="1"/>
  <c r="S22" i="7" a="1"/>
  <c r="T17" i="7" a="1"/>
  <c r="H20" i="7" a="1"/>
  <c r="M17" i="7" a="1"/>
  <c r="F49" i="7" a="1"/>
  <c r="E17" i="7" a="1"/>
  <c r="E21" i="7" a="1"/>
  <c r="I27" i="7" a="1"/>
  <c r="O31" i="7" a="1"/>
  <c r="N18" i="7" a="1"/>
  <c r="J13" i="7" a="1"/>
  <c r="C14" i="7" a="1"/>
  <c r="G40" i="7" a="1"/>
  <c r="E50" i="7" a="1"/>
  <c r="K58" i="1" a="1"/>
  <c r="M34" i="7" a="1"/>
  <c r="M18" i="7" a="1"/>
  <c r="E25" i="7" a="1"/>
  <c r="R18" i="7" a="1"/>
  <c r="M32" i="7" a="1"/>
  <c r="M16" i="7" a="1"/>
  <c r="D15" i="7" a="1"/>
  <c r="C18" i="7" a="1"/>
  <c r="T20" i="7" a="1"/>
  <c r="M38" i="7" a="1"/>
  <c r="O32" i="7" a="1"/>
  <c r="E47" i="7" a="1"/>
  <c r="K55" i="1" a="1"/>
  <c r="H25" i="7" a="1"/>
  <c r="N32" i="7" a="1"/>
  <c r="N28" i="7" a="1"/>
  <c r="N31" i="7" a="1"/>
  <c r="M39" i="7" a="1"/>
  <c r="E49" i="7" a="1"/>
  <c r="F32" i="7" a="1"/>
  <c r="N38" i="7" a="1"/>
  <c r="M22" i="7" a="1"/>
  <c r="G32" i="7" a="1"/>
  <c r="T16" i="7" a="1"/>
  <c r="I13" i="7" a="1"/>
  <c r="G38" i="7" a="1"/>
  <c r="K48" i="7" a="1"/>
  <c r="F58" i="7" a="1"/>
  <c r="F61" i="7" a="1"/>
  <c r="J28" i="7" a="1"/>
  <c r="F53" i="7" a="1"/>
  <c r="G34" i="7" a="1"/>
  <c r="G42" i="7" a="1"/>
  <c r="E55" i="7" a="1"/>
  <c r="M15" i="7" a="1"/>
  <c r="O13" i="7" a="1"/>
  <c r="K51" i="1" a="1"/>
  <c r="H28" i="7" a="1"/>
  <c r="R13" i="7" a="1"/>
  <c r="D13" i="7" a="1"/>
  <c r="F33" i="7" a="1"/>
  <c r="I25" i="7" a="1"/>
  <c r="J15" i="7" a="1"/>
  <c r="J21" i="7" a="1"/>
  <c r="F35" i="7" a="1"/>
  <c r="S20" i="7" a="1"/>
  <c r="E52" i="7" a="1"/>
  <c r="N25" i="7" a="1"/>
  <c r="O35" i="7" a="1"/>
  <c r="S16" i="7" a="1"/>
  <c r="I21" i="7" a="1"/>
  <c r="N39" i="7" a="1"/>
  <c r="E26" i="7" a="1"/>
  <c r="N16" i="7" a="1"/>
  <c r="D53" i="7" a="1"/>
  <c r="S28" i="7" a="1"/>
  <c r="J17" i="7" a="1"/>
  <c r="T28" i="7" a="1"/>
  <c r="O37" i="7" a="1"/>
  <c r="J27" i="7" a="1"/>
  <c r="J14" i="7" a="1"/>
  <c r="D50" i="7" a="1"/>
  <c r="D57" i="7" a="1"/>
  <c r="O27" i="7" a="1"/>
  <c r="K57" i="7" a="1"/>
  <c r="G31" i="7" a="1"/>
  <c r="O40" i="7" a="1"/>
  <c r="J25" i="7" a="1"/>
  <c r="H14" i="7" a="1"/>
  <c r="K60" i="7" a="1"/>
  <c r="K57" i="1" a="1"/>
  <c r="O34" i="7" a="1"/>
  <c r="N14" i="7" a="1"/>
  <c r="S24" i="7" a="1"/>
  <c r="O21" i="7" a="1"/>
  <c r="S23" i="7" a="1"/>
  <c r="N27" i="7" a="1"/>
  <c r="E33" i="7" a="1"/>
  <c r="C20" i="7" a="1"/>
  <c r="D22" i="7" a="1"/>
  <c r="E14" i="7" a="1"/>
  <c r="C16" i="7" a="1"/>
  <c r="I22" i="7" a="1"/>
  <c r="F34" i="7" a="1"/>
  <c r="D51" i="7" a="1"/>
  <c r="M13" i="7" a="1"/>
  <c r="R28" i="7" a="1"/>
  <c r="E20" i="7" a="1"/>
  <c r="E31" i="7" a="1"/>
  <c r="S26" i="7" a="1"/>
  <c r="N21" i="7" a="1"/>
  <c r="S27" i="7" a="1"/>
  <c r="N15" i="7" a="1"/>
  <c r="F40" i="7" a="1"/>
  <c r="I24" i="7" a="1"/>
  <c r="F51" i="7" a="1"/>
  <c r="J23" i="7" a="1"/>
  <c r="F36" i="7" a="1"/>
  <c r="E42" i="7" a="1"/>
  <c r="E60" i="7" a="1"/>
  <c r="C21" i="7" a="1"/>
  <c r="M20" i="7" a="1"/>
  <c r="M23" i="7" a="1"/>
  <c r="E35" i="7" a="1"/>
  <c r="H23" i="7" a="1"/>
  <c r="R15" i="7" a="1"/>
  <c r="C22" i="7" a="1"/>
  <c r="H24" i="7" a="1"/>
  <c r="K47" i="7" a="1"/>
  <c r="F48" i="7" a="1"/>
  <c r="K47" i="1" a="1"/>
  <c r="O28" i="7" a="1"/>
  <c r="O15" i="7" a="1"/>
  <c r="O22" i="7" a="1"/>
  <c r="S13" i="7" a="1"/>
  <c r="N23" i="7" a="1"/>
  <c r="K60" i="1" a="1"/>
  <c r="T25" i="7" a="1"/>
  <c r="O14" i="7" a="1"/>
  <c r="D26" i="7" a="1"/>
  <c r="D54" i="7" a="1"/>
  <c r="T26" i="7" a="1"/>
  <c r="R23" i="7" a="1"/>
  <c r="T27" i="7" a="1"/>
  <c r="O39" i="7" a="1"/>
  <c r="C13" i="7" a="1"/>
  <c r="D55" i="7" a="1"/>
  <c r="R21" i="7" a="1"/>
  <c r="O24" i="7" a="1"/>
  <c r="J26" i="7" a="1"/>
  <c r="C17" i="7" a="1"/>
  <c r="M37" i="7" a="1"/>
  <c r="O19" i="7" a="1"/>
  <c r="E46" i="7" a="1"/>
  <c r="N17" i="7" a="1"/>
  <c r="D56" i="7" a="1"/>
  <c r="F52" i="7" a="1"/>
  <c r="T13" i="7" a="1"/>
  <c r="D25" i="7" a="1"/>
  <c r="S21" i="7" a="1"/>
  <c r="E57" i="7" a="1"/>
  <c r="N33" i="7" a="1"/>
  <c r="H22" i="7" a="1"/>
  <c r="F47" i="7" a="1"/>
  <c r="E16" i="7" a="1"/>
  <c r="H17" i="7" a="1"/>
  <c r="F31" i="7" a="1"/>
  <c r="I14" i="7" a="1"/>
  <c r="H19" i="7" a="1"/>
  <c r="I15" i="7" a="1"/>
  <c r="N34" i="7" a="1"/>
  <c r="K54" i="7" a="1"/>
  <c r="F41" i="7" a="1"/>
  <c r="T15" i="7" a="1"/>
  <c r="F50" i="7" a="1"/>
  <c r="E61" i="7" a="1"/>
  <c r="O16" i="7" a="1"/>
  <c r="F57" i="7" a="1"/>
  <c r="N40" i="7" a="1"/>
  <c r="G41" i="7" a="1"/>
  <c r="E36" i="7" a="1"/>
  <c r="D52" i="7" a="1"/>
  <c r="C27" i="7" a="1"/>
  <c r="N20" i="7" a="1"/>
  <c r="S14" i="7" a="1"/>
  <c r="K49" i="1" a="1"/>
  <c r="K59" i="7" a="1"/>
  <c r="M24" i="7" a="1"/>
  <c r="E34" i="7" a="1"/>
  <c r="M14" i="7" a="1"/>
  <c r="I26" i="7" a="1"/>
  <c r="F39" i="7" a="1"/>
  <c r="M27" i="7" a="1"/>
  <c r="E15" i="7" a="1"/>
  <c r="K55" i="7" a="1"/>
  <c r="M36" i="7" a="1"/>
  <c r="R22" i="7" a="1"/>
  <c r="J20" i="7" a="1"/>
  <c r="K50" i="1" a="1"/>
  <c r="R20" i="7" a="1"/>
  <c r="D46" i="7" a="1"/>
  <c r="E18" i="7" a="1"/>
  <c r="D49" i="7" a="1"/>
  <c r="S19" i="7" a="1"/>
  <c r="D59" i="7" a="1"/>
  <c r="F60" i="7" a="1"/>
  <c r="D61" i="7" a="1"/>
  <c r="D24" i="7" a="1"/>
  <c r="E32" i="7" a="1"/>
  <c r="S17" i="7" a="1"/>
  <c r="S18" i="7" a="1"/>
  <c r="N22" i="7" a="1"/>
  <c r="N26" i="7" a="1"/>
  <c r="I28" i="7" a="1"/>
  <c r="C23" i="7" a="1"/>
  <c r="F38" i="7" a="1"/>
  <c r="N36" i="7" a="1"/>
  <c r="F54" i="7" a="1"/>
  <c r="D60" i="7" a="1"/>
  <c r="E59" i="7" a="1"/>
  <c r="N24" i="7" a="1"/>
  <c r="H26" i="7" a="1"/>
  <c r="J24" i="7" a="1"/>
  <c r="K53" i="1" a="1"/>
  <c r="K46" i="1" a="1"/>
  <c r="G36" i="7" a="1"/>
  <c r="D23" i="7" a="1"/>
  <c r="M25" i="7" a="1"/>
  <c r="K50" i="7" a="1"/>
  <c r="E58" i="7" a="1"/>
  <c r="F46" i="7" a="1"/>
  <c r="K51" i="7" a="1"/>
  <c r="C13" i="1" a="1"/>
  <c r="E54" i="7" a="1"/>
  <c r="M28" i="7" a="1"/>
  <c r="D19" i="7" a="1"/>
  <c r="I16" i="7" a="1"/>
  <c r="H13" i="7" a="1"/>
  <c r="D18" i="7" a="1"/>
  <c r="H18" i="7" a="1"/>
  <c r="E40" i="7" a="1"/>
  <c r="E24" i="7" a="1"/>
  <c r="N19" i="7" a="1"/>
  <c r="F59" i="7" a="1"/>
  <c r="D14" i="7" a="1"/>
  <c r="E53" i="7" a="1"/>
  <c r="I17" i="7" a="1"/>
  <c r="N37" i="7" a="1"/>
  <c r="G35" i="7" a="1"/>
  <c r="S25" i="7" a="1"/>
  <c r="I20" i="7" a="1"/>
  <c r="C19" i="7" a="1"/>
  <c r="O26" i="7" a="1"/>
  <c r="O38" i="7" a="1"/>
  <c r="O23" i="7" a="1"/>
  <c r="F55" i="7" a="1"/>
  <c r="E56" i="7" a="1"/>
  <c r="K52" i="1" a="1"/>
  <c r="C10" i="7" a="1"/>
  <c r="K61" i="1" a="1"/>
  <c r="M31" i="7" a="1"/>
  <c r="D47" i="7" a="1"/>
  <c r="K48" i="1" a="1"/>
  <c r="F42" i="7" a="1"/>
  <c r="R26" i="7" a="1"/>
  <c r="T19" i="7" a="1"/>
  <c r="O33" i="7" a="1"/>
  <c r="K61" i="7" a="1"/>
  <c r="M35" i="7" a="1"/>
  <c r="R19" i="7" a="1"/>
  <c r="E23" i="7" a="1"/>
  <c r="M19" i="7" a="1"/>
  <c r="E41" i="7" a="1"/>
  <c r="E22" i="7" a="1"/>
  <c r="E51" i="7" a="1"/>
  <c r="H27" i="7" a="1"/>
  <c r="D28" i="7" a="1"/>
  <c r="R16" i="7" a="1"/>
  <c r="E39" i="7" a="1"/>
  <c r="E28" i="7" a="1"/>
  <c r="E19" i="7" a="1"/>
  <c r="D58" i="7" a="1"/>
  <c r="D16" i="7" a="1"/>
  <c r="H21" i="7" a="1"/>
  <c r="S15" i="7" a="1"/>
  <c r="I18" i="7" a="1"/>
  <c r="G37" i="7" a="1"/>
  <c r="D48" i="7" a="1"/>
  <c r="T24" i="7" a="1"/>
  <c r="C26" i="7" a="1"/>
  <c r="T23" i="7" a="1"/>
  <c r="O36" i="7" a="1"/>
  <c r="R24" i="7" a="1"/>
  <c r="H16" i="7" a="1"/>
  <c r="C25" i="7" a="1"/>
  <c r="F56" i="7" a="1"/>
  <c r="T22" i="7" a="1"/>
  <c r="T21" i="7" a="1"/>
  <c r="I23" i="7" a="1"/>
  <c r="G39" i="7" a="1"/>
  <c r="K58" i="7" a="1"/>
  <c r="J16" i="7" a="1"/>
  <c r="C24" i="7" a="1"/>
  <c r="R25" i="7" a="1"/>
  <c r="R14" i="7" a="1"/>
  <c r="C15" i="7" a="1"/>
  <c r="K56" i="7" a="1"/>
  <c r="J19" i="7" a="1"/>
  <c r="N35" i="7" a="1"/>
  <c r="O18" i="7" a="1"/>
  <c r="M40" i="7" a="1"/>
  <c r="O17" i="7" a="1"/>
  <c r="O20" i="7" a="1"/>
  <c r="T14" i="7" a="1"/>
  <c r="H15" i="7" a="1"/>
  <c r="K46" i="7" a="1"/>
  <c r="F37" i="7" a="1"/>
  <c r="K53" i="7" a="1"/>
  <c r="C28" i="7" a="1"/>
  <c r="I19" i="7" a="1"/>
  <c r="K54" i="1" a="1"/>
  <c r="D35" i="15" l="1"/>
  <c r="C36" i="15"/>
  <c r="K36" i="15"/>
  <c r="L35" i="15"/>
  <c r="C13" i="1"/>
  <c r="S24" i="7"/>
  <c r="I18" i="7"/>
  <c r="N37" i="7"/>
  <c r="S18" i="7"/>
  <c r="I26" i="7"/>
  <c r="D59" i="7"/>
  <c r="S26" i="7"/>
  <c r="N39" i="7"/>
  <c r="F60" i="7"/>
  <c r="S14" i="7"/>
  <c r="N27" i="7"/>
  <c r="N40" i="7"/>
  <c r="J15" i="7"/>
  <c r="I20" i="7"/>
  <c r="I28" i="7"/>
  <c r="F42" i="7"/>
  <c r="N17" i="7"/>
  <c r="N25" i="7"/>
  <c r="I14" i="7"/>
  <c r="N38" i="7"/>
  <c r="N19" i="7"/>
  <c r="N15" i="7"/>
  <c r="S20" i="7"/>
  <c r="S28" i="7"/>
  <c r="D47" i="7"/>
  <c r="N36" i="7"/>
  <c r="N31" i="7"/>
  <c r="D56" i="7"/>
  <c r="T15" i="7"/>
  <c r="N21" i="7"/>
  <c r="F48" i="7"/>
  <c r="C10" i="7"/>
  <c r="I16" i="7"/>
  <c r="I22" i="7"/>
  <c r="N32" i="7"/>
  <c r="D50" i="7"/>
  <c r="S22" i="7"/>
  <c r="N33" i="7"/>
  <c r="F51" i="7"/>
  <c r="O16" i="7"/>
  <c r="N23" i="7"/>
  <c r="N34" i="7"/>
  <c r="D53" i="7"/>
  <c r="J13" i="7"/>
  <c r="S16" i="7"/>
  <c r="I24" i="7"/>
  <c r="N35" i="7"/>
  <c r="F54" i="7"/>
  <c r="N13" i="7"/>
  <c r="T13" i="7"/>
  <c r="F57" i="7"/>
  <c r="O14" i="7"/>
  <c r="J14" i="7"/>
  <c r="O15" i="7"/>
  <c r="T16" i="7"/>
  <c r="J18" i="7"/>
  <c r="O19" i="7"/>
  <c r="T20" i="7"/>
  <c r="J22" i="7"/>
  <c r="O23" i="7"/>
  <c r="T24" i="7"/>
  <c r="J26" i="7"/>
  <c r="T26" i="7"/>
  <c r="O27" i="7"/>
  <c r="J28" i="7"/>
  <c r="T28" i="7"/>
  <c r="O32" i="7"/>
  <c r="O33" i="7"/>
  <c r="O34" i="7"/>
  <c r="O35" i="7"/>
  <c r="O36" i="7"/>
  <c r="O37" i="7"/>
  <c r="O38" i="7"/>
  <c r="O39" i="7"/>
  <c r="O40" i="7"/>
  <c r="G42" i="7"/>
  <c r="E47" i="7"/>
  <c r="K48" i="7"/>
  <c r="E50" i="7"/>
  <c r="K51" i="7"/>
  <c r="E53" i="7"/>
  <c r="K54" i="7"/>
  <c r="E56" i="7"/>
  <c r="K57" i="7"/>
  <c r="E59" i="7"/>
  <c r="K60" i="7"/>
  <c r="O13" i="7"/>
  <c r="T14" i="7"/>
  <c r="J16" i="7"/>
  <c r="O17" i="7"/>
  <c r="T18" i="7"/>
  <c r="J20" i="7"/>
  <c r="O21" i="7"/>
  <c r="T22" i="7"/>
  <c r="J24" i="7"/>
  <c r="O25" i="7"/>
  <c r="O31" i="7"/>
  <c r="R13" i="7"/>
  <c r="H15" i="7"/>
  <c r="M16" i="7"/>
  <c r="R17" i="7"/>
  <c r="M18" i="7"/>
  <c r="R19" i="7"/>
  <c r="M20" i="7"/>
  <c r="H21" i="7"/>
  <c r="M22" i="7"/>
  <c r="H23" i="7"/>
  <c r="R23" i="7"/>
  <c r="M24" i="7"/>
  <c r="H25" i="7"/>
  <c r="R25" i="7"/>
  <c r="M26" i="7"/>
  <c r="H27" i="7"/>
  <c r="R27" i="7"/>
  <c r="M28" i="7"/>
  <c r="E31" i="7"/>
  <c r="E32" i="7"/>
  <c r="E33" i="7"/>
  <c r="E34" i="7"/>
  <c r="E35" i="7"/>
  <c r="E36" i="7"/>
  <c r="E37" i="7"/>
  <c r="E38" i="7"/>
  <c r="E39" i="7"/>
  <c r="E40" i="7"/>
  <c r="E41" i="7"/>
  <c r="D46" i="7"/>
  <c r="F47" i="7"/>
  <c r="D49" i="7"/>
  <c r="F50" i="7"/>
  <c r="D52" i="7"/>
  <c r="F53" i="7"/>
  <c r="D55" i="7"/>
  <c r="F56" i="7"/>
  <c r="D58" i="7"/>
  <c r="F59" i="7"/>
  <c r="D61" i="7"/>
  <c r="H13" i="7"/>
  <c r="M14" i="7"/>
  <c r="R15" i="7"/>
  <c r="H17" i="7"/>
  <c r="H19" i="7"/>
  <c r="R21" i="7"/>
  <c r="I13" i="7"/>
  <c r="N14" i="7"/>
  <c r="S15" i="7"/>
  <c r="I17" i="7"/>
  <c r="S17" i="7"/>
  <c r="I19" i="7"/>
  <c r="S19" i="7"/>
  <c r="N20" i="7"/>
  <c r="I21" i="7"/>
  <c r="S21" i="7"/>
  <c r="I23" i="7"/>
  <c r="S23" i="7"/>
  <c r="N24" i="7"/>
  <c r="I25" i="7"/>
  <c r="S25" i="7"/>
  <c r="N26" i="7"/>
  <c r="I27" i="7"/>
  <c r="S27" i="7"/>
  <c r="N28" i="7"/>
  <c r="F31" i="7"/>
  <c r="F32" i="7"/>
  <c r="F33" i="7"/>
  <c r="F34" i="7"/>
  <c r="F35" i="7"/>
  <c r="F36" i="7"/>
  <c r="F37" i="7"/>
  <c r="F38" i="7"/>
  <c r="F39" i="7"/>
  <c r="F40" i="7"/>
  <c r="F41" i="7"/>
  <c r="E46" i="7"/>
  <c r="K47" i="7"/>
  <c r="E49" i="7"/>
  <c r="K50" i="7"/>
  <c r="E52" i="7"/>
  <c r="K53" i="7"/>
  <c r="E55" i="7"/>
  <c r="K56" i="7"/>
  <c r="E58" i="7"/>
  <c r="K59" i="7"/>
  <c r="E61" i="7"/>
  <c r="S13" i="7"/>
  <c r="I15" i="7"/>
  <c r="N16" i="7"/>
  <c r="N18" i="7"/>
  <c r="N22" i="7"/>
  <c r="T17" i="7"/>
  <c r="J19" i="7"/>
  <c r="O20" i="7"/>
  <c r="T21" i="7"/>
  <c r="J23" i="7"/>
  <c r="O24" i="7"/>
  <c r="T25" i="7"/>
  <c r="J27" i="7"/>
  <c r="O28" i="7"/>
  <c r="G32" i="7"/>
  <c r="G33" i="7"/>
  <c r="G35" i="7"/>
  <c r="G37" i="7"/>
  <c r="G39" i="7"/>
  <c r="G41" i="7"/>
  <c r="D48" i="7"/>
  <c r="D51" i="7"/>
  <c r="D54" i="7"/>
  <c r="D57" i="7"/>
  <c r="F61" i="7"/>
  <c r="J17" i="7"/>
  <c r="O18" i="7"/>
  <c r="T19" i="7"/>
  <c r="J21" i="7"/>
  <c r="O22" i="7"/>
  <c r="T23" i="7"/>
  <c r="J25" i="7"/>
  <c r="O26" i="7"/>
  <c r="T27" i="7"/>
  <c r="G31" i="7"/>
  <c r="G34" i="7"/>
  <c r="G36" i="7"/>
  <c r="G38" i="7"/>
  <c r="G40" i="7"/>
  <c r="F46" i="7"/>
  <c r="F49" i="7"/>
  <c r="F52" i="7"/>
  <c r="F55" i="7"/>
  <c r="F58" i="7"/>
  <c r="D60" i="7"/>
  <c r="H14" i="7"/>
  <c r="M15" i="7"/>
  <c r="M17" i="7"/>
  <c r="R18" i="7"/>
  <c r="H20" i="7"/>
  <c r="M21" i="7"/>
  <c r="R22" i="7"/>
  <c r="H24" i="7"/>
  <c r="M25" i="7"/>
  <c r="H26" i="7"/>
  <c r="R26" i="7"/>
  <c r="M27" i="7"/>
  <c r="H28" i="7"/>
  <c r="M31" i="7"/>
  <c r="M32" i="7"/>
  <c r="M33" i="7"/>
  <c r="M34" i="7"/>
  <c r="M35" i="7"/>
  <c r="M36" i="7"/>
  <c r="M37" i="7"/>
  <c r="M38" i="7"/>
  <c r="M39" i="7"/>
  <c r="M40" i="7"/>
  <c r="E42" i="7"/>
  <c r="K46" i="7"/>
  <c r="E48" i="7"/>
  <c r="K49" i="7"/>
  <c r="E51" i="7"/>
  <c r="K52" i="7"/>
  <c r="E54" i="7"/>
  <c r="K55" i="7"/>
  <c r="E57" i="7"/>
  <c r="K58" i="7"/>
  <c r="E60" i="7"/>
  <c r="K61" i="7"/>
  <c r="M13" i="7"/>
  <c r="R14" i="7"/>
  <c r="H16" i="7"/>
  <c r="R16" i="7"/>
  <c r="H18" i="7"/>
  <c r="M19" i="7"/>
  <c r="R20" i="7"/>
  <c r="H22" i="7"/>
  <c r="M23" i="7"/>
  <c r="R24" i="7"/>
  <c r="R28" i="7"/>
  <c r="C24" i="7"/>
  <c r="E27" i="7"/>
  <c r="E25" i="7"/>
  <c r="E23" i="7"/>
  <c r="E21" i="7"/>
  <c r="E19" i="7"/>
  <c r="E17" i="7"/>
  <c r="E15" i="7"/>
  <c r="C26" i="7"/>
  <c r="D25" i="7"/>
  <c r="D23" i="7"/>
  <c r="D15" i="7"/>
  <c r="D21" i="7"/>
  <c r="D28" i="7"/>
  <c r="D27" i="7"/>
  <c r="D19" i="7"/>
  <c r="C27" i="7"/>
  <c r="C25" i="7"/>
  <c r="C23" i="7"/>
  <c r="C21" i="7"/>
  <c r="C19" i="7"/>
  <c r="C17" i="7"/>
  <c r="C15" i="7"/>
  <c r="D17" i="7"/>
  <c r="E28" i="7"/>
  <c r="E24" i="7"/>
  <c r="E22" i="7"/>
  <c r="E18" i="7"/>
  <c r="E16" i="7"/>
  <c r="E14" i="7"/>
  <c r="E26" i="7"/>
  <c r="E20" i="7"/>
  <c r="D26" i="7"/>
  <c r="D22" i="7"/>
  <c r="D20" i="7"/>
  <c r="D16" i="7"/>
  <c r="D14" i="7"/>
  <c r="D24" i="7"/>
  <c r="D18" i="7"/>
  <c r="C28" i="7"/>
  <c r="C22" i="7"/>
  <c r="C20" i="7"/>
  <c r="C18" i="7"/>
  <c r="C16" i="7"/>
  <c r="C14" i="7"/>
  <c r="D13" i="7"/>
  <c r="C13" i="7"/>
  <c r="K33" i="7"/>
  <c r="L32" i="7"/>
  <c r="C35" i="7"/>
  <c r="D34" i="7"/>
  <c r="L31" i="7"/>
  <c r="D33" i="7"/>
  <c r="K54" i="1"/>
  <c r="K52" i="1"/>
  <c r="K60" i="1"/>
  <c r="K58" i="1"/>
  <c r="K57" i="1"/>
  <c r="K51" i="1"/>
  <c r="K55" i="1"/>
  <c r="K59" i="1"/>
  <c r="K61" i="1"/>
  <c r="K56" i="1"/>
  <c r="K50" i="1"/>
  <c r="K48" i="1"/>
  <c r="K49" i="1"/>
  <c r="K53" i="1"/>
  <c r="K47" i="1"/>
  <c r="K46" i="1"/>
  <c r="D36" i="15" l="1"/>
  <c r="C37" i="15"/>
  <c r="L36" i="15"/>
  <c r="K37" i="15"/>
  <c r="D35" i="7"/>
  <c r="C36" i="7"/>
  <c r="L33" i="7"/>
  <c r="K34" i="7"/>
  <c r="D37" i="15" l="1"/>
  <c r="C38" i="15"/>
  <c r="K38" i="15"/>
  <c r="L37" i="15"/>
  <c r="K35" i="7"/>
  <c r="L34" i="7"/>
  <c r="C37" i="7"/>
  <c r="D36" i="7"/>
  <c r="D38" i="15" l="1"/>
  <c r="C39" i="15"/>
  <c r="K39" i="15"/>
  <c r="L38" i="15"/>
  <c r="C38" i="7"/>
  <c r="D37" i="7"/>
  <c r="K36" i="7"/>
  <c r="L35" i="7"/>
  <c r="C40" i="15" l="1"/>
  <c r="D39" i="15"/>
  <c r="L39" i="15"/>
  <c r="K40" i="15"/>
  <c r="L36" i="7"/>
  <c r="K37" i="7"/>
  <c r="D38" i="7"/>
  <c r="C39" i="7"/>
  <c r="C41" i="15" l="1"/>
  <c r="D40" i="15"/>
  <c r="K41" i="15"/>
  <c r="L41" i="15" s="1"/>
  <c r="L40" i="15"/>
  <c r="C40" i="7"/>
  <c r="D39" i="7"/>
  <c r="K38" i="7"/>
  <c r="L37" i="7"/>
  <c r="D41" i="15" l="1"/>
  <c r="C42" i="15"/>
  <c r="K39" i="7"/>
  <c r="L38" i="7"/>
  <c r="C41" i="7"/>
  <c r="D40" i="7"/>
  <c r="D42" i="15" l="1"/>
  <c r="C43" i="15"/>
  <c r="D43" i="15" s="1"/>
  <c r="D41" i="7"/>
  <c r="C42" i="7"/>
  <c r="L39" i="7"/>
  <c r="K40" i="7"/>
  <c r="K41" i="7" l="1"/>
  <c r="L41" i="7" s="1"/>
  <c r="L40" i="7"/>
  <c r="D42" i="7"/>
  <c r="C43" i="7"/>
  <c r="D43" i="7" s="1"/>
  <c r="K31" i="1" l="1"/>
  <c r="L31" i="1" s="1"/>
  <c r="D31" i="1"/>
  <c r="C32" i="1"/>
  <c r="D32" i="1" s="1"/>
  <c r="C15" i="4" a="1"/>
  <c r="E15" i="1" a="1"/>
  <c r="T16" i="1" a="1"/>
  <c r="O14" i="1" a="1"/>
  <c r="S28" i="1" a="1"/>
  <c r="S18" i="1" a="1"/>
  <c r="D23" i="1" a="1"/>
  <c r="E31" i="1" a="1"/>
  <c r="E16" i="1" a="1"/>
  <c r="F47" i="1" a="1"/>
  <c r="J13" i="1" a="1"/>
  <c r="F61" i="1" a="1"/>
  <c r="I14" i="1" a="1"/>
  <c r="N18" i="1" a="1"/>
  <c r="D21" i="1" a="1"/>
  <c r="O31" i="1" a="1"/>
  <c r="E24" i="1" a="1"/>
  <c r="D54" i="1" a="1"/>
  <c r="I19" i="1" a="1"/>
  <c r="C22" i="4" a="1"/>
  <c r="N21" i="1" a="1"/>
  <c r="M18" i="1" a="1"/>
  <c r="R15" i="1" a="1"/>
  <c r="T22" i="1" a="1"/>
  <c r="F49" i="1" a="1"/>
  <c r="F59" i="1" a="1"/>
  <c r="C20" i="4" a="1"/>
  <c r="T27" i="1" a="1"/>
  <c r="F54" i="1" a="1"/>
  <c r="D56" i="1" a="1"/>
  <c r="O17" i="1" a="1"/>
  <c r="J23" i="1" a="1"/>
  <c r="D16" i="1" a="1"/>
  <c r="M25" i="1" a="1"/>
  <c r="M22" i="1" a="1"/>
  <c r="T20" i="1" a="1"/>
  <c r="H19" i="1" a="1"/>
  <c r="S20" i="1" a="1"/>
  <c r="D19" i="1" a="1"/>
  <c r="E52" i="1" a="1"/>
  <c r="I28" i="1" a="1"/>
  <c r="E54" i="1" a="1"/>
  <c r="I25" i="1" a="1"/>
  <c r="E19" i="1" a="1"/>
  <c r="O24" i="1" a="1"/>
  <c r="I15" i="1" a="1"/>
  <c r="R22" i="1" a="1"/>
  <c r="D28" i="1" a="1"/>
  <c r="E49" i="1" a="1"/>
  <c r="J16" i="1" a="1"/>
  <c r="D53" i="1" a="1"/>
  <c r="O27" i="1" a="1"/>
  <c r="C17" i="4" a="1"/>
  <c r="I23" i="1" a="1"/>
  <c r="D46" i="1" a="1"/>
  <c r="H16" i="1" a="1"/>
  <c r="J18" i="1" a="1"/>
  <c r="J21" i="1" a="1"/>
  <c r="N15" i="1" a="1"/>
  <c r="D15" i="1" a="1"/>
  <c r="H27" i="1" a="1"/>
  <c r="J24" i="1" a="1"/>
  <c r="E26" i="1" a="1"/>
  <c r="J22" i="1" a="1"/>
  <c r="O25" i="1" a="1"/>
  <c r="C18" i="4" a="1"/>
  <c r="D55" i="1" a="1"/>
  <c r="D59" i="1" a="1"/>
  <c r="N13" i="1" a="1"/>
  <c r="H20" i="1" a="1"/>
  <c r="S13" i="1" a="1"/>
  <c r="N16" i="1" a="1"/>
  <c r="R19" i="1" a="1"/>
  <c r="H22" i="1" a="1"/>
  <c r="E46" i="1" a="1"/>
  <c r="E28" i="1" a="1"/>
  <c r="F46" i="1" a="1"/>
  <c r="E17" i="1" a="1"/>
  <c r="D47" i="1" a="1"/>
  <c r="O21" i="1" a="1"/>
  <c r="R28" i="1" a="1"/>
  <c r="R21" i="1" a="1"/>
  <c r="H15" i="1" a="1"/>
  <c r="M31" i="1" a="1"/>
  <c r="E25" i="1" a="1"/>
  <c r="F53" i="1" a="1"/>
  <c r="F58" i="1" a="1"/>
  <c r="N20" i="1" a="1"/>
  <c r="E32" i="1" a="1"/>
  <c r="N28" i="1" a="1"/>
  <c r="C10" i="1" a="1"/>
  <c r="E18" i="1" a="1"/>
  <c r="S27" i="1" a="1"/>
  <c r="E21" i="1" a="1"/>
  <c r="S21" i="1" a="1"/>
  <c r="G31" i="1" a="1"/>
  <c r="F52" i="1" a="1"/>
  <c r="D58" i="1" a="1"/>
  <c r="E47" i="1" a="1"/>
  <c r="I24" i="1" a="1"/>
  <c r="S14" i="1" a="1"/>
  <c r="O16" i="1" a="1"/>
  <c r="J20" i="1" a="1"/>
  <c r="R13" i="1" a="1"/>
  <c r="D48" i="1" a="1"/>
  <c r="R14" i="1" a="1"/>
  <c r="D14" i="1" a="1"/>
  <c r="R16" i="1" a="1"/>
  <c r="D20" i="1" a="1"/>
  <c r="D50" i="1" a="1"/>
  <c r="I26" i="1" a="1"/>
  <c r="M24" i="1" a="1"/>
  <c r="S15" i="1" a="1"/>
  <c r="J28" i="1" a="1"/>
  <c r="R24" i="1" a="1"/>
  <c r="H24" i="1" a="1"/>
  <c r="F56" i="1" a="1"/>
  <c r="M21" i="1" a="1"/>
  <c r="I17" i="1" a="1"/>
  <c r="H23" i="1" a="1"/>
  <c r="J14" i="1" a="1"/>
  <c r="F50" i="1" a="1"/>
  <c r="T21" i="1" a="1"/>
  <c r="H28" i="1" a="1"/>
  <c r="N17" i="1" a="1"/>
  <c r="T14" i="1" a="1"/>
  <c r="O23" i="1" a="1"/>
  <c r="T17" i="1" a="1"/>
  <c r="O15" i="1" a="1"/>
  <c r="R23" i="1" a="1"/>
  <c r="F57" i="1" a="1"/>
  <c r="E60" i="1" a="1"/>
  <c r="J19" i="1" a="1"/>
  <c r="H13" i="1" a="1"/>
  <c r="M16" i="1" a="1"/>
  <c r="D57" i="1" a="1"/>
  <c r="O18" i="1" a="1"/>
  <c r="T19" i="1" a="1"/>
  <c r="S22" i="1" a="1"/>
  <c r="E56" i="1" a="1"/>
  <c r="S24" i="1" a="1"/>
  <c r="D24" i="1" a="1"/>
  <c r="E58" i="1" a="1"/>
  <c r="H21" i="1" a="1"/>
  <c r="S26" i="1" a="1"/>
  <c r="J25" i="1" a="1"/>
  <c r="M15" i="1" a="1"/>
  <c r="R26" i="1" a="1"/>
  <c r="C21" i="4" a="1"/>
  <c r="F32" i="1" a="1"/>
  <c r="E51" i="1" a="1"/>
  <c r="E14" i="1" a="1"/>
  <c r="C10" i="4" a="1"/>
  <c r="M28" i="1" a="1"/>
  <c r="N27" i="1" a="1"/>
  <c r="M26" i="1" a="1"/>
  <c r="I20" i="1" a="1"/>
  <c r="T24" i="1" a="1"/>
  <c r="T28" i="1" a="1"/>
  <c r="T26" i="1" a="1"/>
  <c r="H26" i="1" a="1"/>
  <c r="J27" i="1" a="1"/>
  <c r="R27" i="1" a="1"/>
  <c r="N31" i="1" a="1"/>
  <c r="S17" i="1" a="1"/>
  <c r="D49" i="1" a="1"/>
  <c r="S19" i="1" a="1"/>
  <c r="E27" i="1" a="1"/>
  <c r="D51" i="1" a="1"/>
  <c r="S25" i="1" a="1"/>
  <c r="F31" i="1" a="1"/>
  <c r="E20" i="1" a="1"/>
  <c r="E55" i="1" a="1"/>
  <c r="O13" i="1" a="1"/>
  <c r="C14" i="4" a="1"/>
  <c r="O28" i="1" a="1"/>
  <c r="D25" i="1" a="1"/>
  <c r="R25" i="1" a="1"/>
  <c r="O19" i="1" a="1"/>
  <c r="S23" i="1" a="1"/>
  <c r="R18" i="1" a="1"/>
  <c r="N25" i="1" a="1"/>
  <c r="H17" i="1" a="1"/>
  <c r="N26" i="1" a="1"/>
  <c r="F48" i="1" a="1"/>
  <c r="T25" i="1" a="1"/>
  <c r="J26" i="1" a="1"/>
  <c r="S16" i="1" a="1"/>
  <c r="D17" i="1" a="1"/>
  <c r="F55" i="1" a="1"/>
  <c r="I16" i="1" a="1"/>
  <c r="E61" i="1" a="1"/>
  <c r="M13" i="1" a="1"/>
  <c r="G32" i="1" a="1"/>
  <c r="M14" i="1" a="1"/>
  <c r="D26" i="1" a="1"/>
  <c r="N14" i="1" a="1"/>
  <c r="M20" i="1" a="1"/>
  <c r="R20" i="1" a="1"/>
  <c r="D27" i="1" a="1"/>
  <c r="N22" i="1" a="1"/>
  <c r="I21" i="1" a="1"/>
  <c r="F51" i="1" a="1"/>
  <c r="D13" i="1" a="1"/>
  <c r="M19" i="1" a="1"/>
  <c r="E50" i="1" a="1"/>
  <c r="T18" i="1" a="1"/>
  <c r="H14" i="1" a="1"/>
  <c r="E53" i="1" a="1"/>
  <c r="J15" i="1" a="1"/>
  <c r="E48" i="1" a="1"/>
  <c r="I22" i="1" a="1"/>
  <c r="M23" i="1" a="1"/>
  <c r="O26" i="1" a="1"/>
  <c r="F60" i="1" a="1"/>
  <c r="M27" i="1" a="1"/>
  <c r="E22" i="1" a="1"/>
  <c r="T23" i="1" a="1"/>
  <c r="E13" i="1" a="1"/>
  <c r="D52" i="1" a="1"/>
  <c r="I18" i="1" a="1"/>
  <c r="M17" i="1" a="1"/>
  <c r="D10" i="4" a="1"/>
  <c r="O20" i="1" a="1"/>
  <c r="T15" i="1" a="1"/>
  <c r="D18" i="1" a="1"/>
  <c r="E57" i="1" a="1"/>
  <c r="E23" i="1" a="1"/>
  <c r="E59" i="1" a="1"/>
  <c r="J17" i="1" a="1"/>
  <c r="H18" i="1" a="1"/>
  <c r="O22" i="1" a="1"/>
  <c r="I27" i="1" a="1"/>
  <c r="N23" i="1" a="1"/>
  <c r="D60" i="1" a="1"/>
  <c r="R17" i="1" a="1"/>
  <c r="H25" i="1" a="1"/>
  <c r="D61" i="1" a="1"/>
  <c r="I13" i="1" a="1"/>
  <c r="C19" i="4" a="1"/>
  <c r="N19" i="1" a="1"/>
  <c r="D22" i="1" a="1"/>
  <c r="N24" i="1" a="1"/>
  <c r="T13" i="1" a="1"/>
  <c r="C16" i="4" a="1"/>
  <c r="F51" i="1" l="1"/>
  <c r="E57" i="1"/>
  <c r="E51" i="1"/>
  <c r="F60" i="1"/>
  <c r="F58" i="1"/>
  <c r="F56" i="1"/>
  <c r="F54" i="1"/>
  <c r="F52" i="1"/>
  <c r="F50" i="1"/>
  <c r="F48" i="1"/>
  <c r="F59" i="1"/>
  <c r="F49" i="1"/>
  <c r="E59" i="1"/>
  <c r="E53" i="1"/>
  <c r="E60" i="1"/>
  <c r="E50" i="1"/>
  <c r="F57" i="1"/>
  <c r="F53" i="1"/>
  <c r="E49" i="1"/>
  <c r="D61" i="1"/>
  <c r="E58" i="1"/>
  <c r="E56" i="1"/>
  <c r="E54" i="1"/>
  <c r="E52" i="1"/>
  <c r="E48" i="1"/>
  <c r="F55" i="1"/>
  <c r="E47" i="1"/>
  <c r="D60" i="1"/>
  <c r="D58" i="1"/>
  <c r="D56" i="1"/>
  <c r="D54" i="1"/>
  <c r="D52" i="1"/>
  <c r="D50" i="1"/>
  <c r="D48" i="1"/>
  <c r="F61" i="1"/>
  <c r="F47" i="1"/>
  <c r="E61" i="1"/>
  <c r="E55" i="1"/>
  <c r="D59" i="1"/>
  <c r="D57" i="1"/>
  <c r="D55" i="1"/>
  <c r="D53" i="1"/>
  <c r="D51" i="1"/>
  <c r="D49" i="1"/>
  <c r="D47" i="1"/>
  <c r="F46" i="1"/>
  <c r="E46" i="1"/>
  <c r="D46" i="1"/>
  <c r="O31" i="1"/>
  <c r="N31" i="1"/>
  <c r="M31" i="1"/>
  <c r="G32" i="1"/>
  <c r="F32" i="1"/>
  <c r="E32" i="1"/>
  <c r="G31" i="1"/>
  <c r="F31" i="1"/>
  <c r="E31" i="1"/>
  <c r="T17" i="1"/>
  <c r="S25" i="1"/>
  <c r="S19" i="1"/>
  <c r="S17" i="1"/>
  <c r="S15" i="1"/>
  <c r="T25" i="1"/>
  <c r="T19" i="1"/>
  <c r="S23" i="1"/>
  <c r="R25" i="1"/>
  <c r="R19" i="1"/>
  <c r="R15" i="1"/>
  <c r="T15" i="1"/>
  <c r="R23" i="1"/>
  <c r="T21" i="1"/>
  <c r="S21" i="1"/>
  <c r="R27" i="1"/>
  <c r="R21" i="1"/>
  <c r="R17" i="1"/>
  <c r="T28" i="1"/>
  <c r="T26" i="1"/>
  <c r="T24" i="1"/>
  <c r="T22" i="1"/>
  <c r="T20" i="1"/>
  <c r="T18" i="1"/>
  <c r="T16" i="1"/>
  <c r="T14" i="1"/>
  <c r="S27" i="1"/>
  <c r="S26" i="1"/>
  <c r="T27" i="1"/>
  <c r="T23" i="1"/>
  <c r="S28" i="1"/>
  <c r="S24" i="1"/>
  <c r="S22" i="1"/>
  <c r="S20" i="1"/>
  <c r="S18" i="1"/>
  <c r="S16" i="1"/>
  <c r="S14" i="1"/>
  <c r="R28" i="1"/>
  <c r="R26" i="1"/>
  <c r="R24" i="1"/>
  <c r="R22" i="1"/>
  <c r="R20" i="1"/>
  <c r="R18" i="1"/>
  <c r="R16" i="1"/>
  <c r="R14" i="1"/>
  <c r="S13" i="1"/>
  <c r="T13" i="1"/>
  <c r="R13" i="1"/>
  <c r="O20" i="1"/>
  <c r="M24" i="1"/>
  <c r="O27" i="1"/>
  <c r="O25" i="1"/>
  <c r="O23" i="1"/>
  <c r="O21" i="1"/>
  <c r="O19" i="1"/>
  <c r="O17" i="1"/>
  <c r="O15" i="1"/>
  <c r="O28" i="1"/>
  <c r="M28" i="1"/>
  <c r="M18" i="1"/>
  <c r="N27" i="1"/>
  <c r="N25" i="1"/>
  <c r="N21" i="1"/>
  <c r="N19" i="1"/>
  <c r="N17" i="1"/>
  <c r="N15" i="1"/>
  <c r="M20" i="1"/>
  <c r="N23" i="1"/>
  <c r="O22" i="1"/>
  <c r="M26" i="1"/>
  <c r="M16" i="1"/>
  <c r="M25" i="1"/>
  <c r="M23" i="1"/>
  <c r="M21" i="1"/>
  <c r="M19" i="1"/>
  <c r="M17" i="1"/>
  <c r="M15" i="1"/>
  <c r="O24" i="1"/>
  <c r="M22" i="1"/>
  <c r="M27" i="1"/>
  <c r="O26" i="1"/>
  <c r="O18" i="1"/>
  <c r="O16" i="1"/>
  <c r="O14" i="1"/>
  <c r="N28" i="1"/>
  <c r="N26" i="1"/>
  <c r="N24" i="1"/>
  <c r="N22" i="1"/>
  <c r="N20" i="1"/>
  <c r="N18" i="1"/>
  <c r="N16" i="1"/>
  <c r="N14" i="1"/>
  <c r="M14" i="1"/>
  <c r="O13" i="1"/>
  <c r="N13" i="1"/>
  <c r="M13" i="1"/>
  <c r="J13" i="1"/>
  <c r="I17" i="1"/>
  <c r="I23" i="1"/>
  <c r="I25" i="1"/>
  <c r="I28" i="1"/>
  <c r="I22" i="1"/>
  <c r="I16" i="1"/>
  <c r="I24" i="1"/>
  <c r="I27" i="1"/>
  <c r="I21" i="1"/>
  <c r="I15" i="1"/>
  <c r="I19" i="1"/>
  <c r="I18" i="1"/>
  <c r="I26" i="1"/>
  <c r="I20" i="1"/>
  <c r="I14" i="1"/>
  <c r="I13" i="1"/>
  <c r="J26" i="1"/>
  <c r="J14" i="1"/>
  <c r="J24" i="1"/>
  <c r="J23" i="1"/>
  <c r="J27" i="1"/>
  <c r="J20" i="1"/>
  <c r="J21" i="1"/>
  <c r="J18" i="1"/>
  <c r="J17" i="1"/>
  <c r="J15" i="1"/>
  <c r="J19" i="1"/>
  <c r="J22" i="1"/>
  <c r="J25" i="1"/>
  <c r="J28" i="1"/>
  <c r="J16" i="1"/>
  <c r="H13" i="1"/>
  <c r="E16" i="1"/>
  <c r="E15" i="1"/>
  <c r="E20" i="1"/>
  <c r="E19" i="1"/>
  <c r="E21" i="1"/>
  <c r="E26" i="1"/>
  <c r="E25" i="1"/>
  <c r="E24" i="1"/>
  <c r="E18" i="1"/>
  <c r="E22" i="1"/>
  <c r="E17" i="1"/>
  <c r="E28" i="1"/>
  <c r="E27" i="1"/>
  <c r="E23" i="1"/>
  <c r="E14" i="1"/>
  <c r="D25" i="1"/>
  <c r="D24" i="1"/>
  <c r="D18" i="1"/>
  <c r="D19" i="1"/>
  <c r="D23" i="1"/>
  <c r="D17" i="1"/>
  <c r="D16" i="1"/>
  <c r="D22" i="1"/>
  <c r="D15" i="1"/>
  <c r="D21" i="1"/>
  <c r="D28" i="1"/>
  <c r="D27" i="1"/>
  <c r="D26" i="1"/>
  <c r="D20" i="1"/>
  <c r="D14" i="1"/>
  <c r="E13" i="1"/>
  <c r="D13" i="1"/>
  <c r="K32" i="1"/>
  <c r="C18" i="4"/>
  <c r="C22" i="4"/>
  <c r="C21" i="4"/>
  <c r="C20" i="4"/>
  <c r="C19" i="4"/>
  <c r="C17" i="4"/>
  <c r="C15" i="4"/>
  <c r="C16" i="4"/>
  <c r="C14" i="4"/>
  <c r="D10" i="4"/>
  <c r="C10" i="4"/>
  <c r="C10" i="1"/>
  <c r="C33" i="1"/>
  <c r="H20" i="1"/>
  <c r="H25" i="1"/>
  <c r="H27" i="1"/>
  <c r="H21" i="1"/>
  <c r="H15" i="1"/>
  <c r="H26" i="1"/>
  <c r="H19" i="1"/>
  <c r="H24" i="1"/>
  <c r="H18" i="1"/>
  <c r="H23" i="1"/>
  <c r="H17" i="1"/>
  <c r="H28" i="1"/>
  <c r="H22" i="1"/>
  <c r="H16" i="1"/>
  <c r="H14" i="1"/>
  <c r="C27" i="1" a="1"/>
  <c r="N32" i="1" a="1"/>
  <c r="C16" i="1" a="1"/>
  <c r="C21" i="1" a="1"/>
  <c r="E33" i="1" a="1"/>
  <c r="F33" i="1" a="1"/>
  <c r="C15" i="1" a="1"/>
  <c r="C23" i="1" a="1"/>
  <c r="C20" i="1" a="1"/>
  <c r="C14" i="1" a="1"/>
  <c r="C19" i="1" a="1"/>
  <c r="O32" i="1" a="1"/>
  <c r="M32" i="1" a="1"/>
  <c r="C18" i="1" a="1"/>
  <c r="C28" i="1" a="1"/>
  <c r="C24" i="1" a="1"/>
  <c r="C17" i="1" a="1"/>
  <c r="C26" i="1" a="1"/>
  <c r="C25" i="1" a="1"/>
  <c r="G33" i="1" a="1"/>
  <c r="C22" i="1" a="1"/>
  <c r="E33" i="1" l="1"/>
  <c r="F33" i="1"/>
  <c r="G33" i="1"/>
  <c r="M32" i="1"/>
  <c r="N32" i="1"/>
  <c r="O32" i="1"/>
  <c r="D33" i="1"/>
  <c r="L32" i="1"/>
  <c r="K33" i="1"/>
  <c r="C34" i="1"/>
  <c r="C22" i="1"/>
  <c r="C21" i="1"/>
  <c r="C25" i="1"/>
  <c r="C19" i="1"/>
  <c r="C24" i="1"/>
  <c r="C27" i="1"/>
  <c r="C26" i="1"/>
  <c r="C18" i="1"/>
  <c r="C28" i="1"/>
  <c r="C15" i="1"/>
  <c r="C23" i="1"/>
  <c r="C17" i="1"/>
  <c r="C16" i="1"/>
  <c r="C20" i="1"/>
  <c r="C14" i="1"/>
  <c r="O33" i="1" a="1"/>
  <c r="N33" i="1" a="1"/>
  <c r="G34" i="1" a="1"/>
  <c r="F34" i="1" a="1"/>
  <c r="E34" i="1" a="1"/>
  <c r="M33" i="1" a="1"/>
  <c r="M33" i="1" l="1"/>
  <c r="N33" i="1"/>
  <c r="O33" i="1"/>
  <c r="E34" i="1"/>
  <c r="F34" i="1"/>
  <c r="G34" i="1"/>
  <c r="D34" i="1"/>
  <c r="K34" i="1"/>
  <c r="L33" i="1"/>
  <c r="C35" i="1"/>
  <c r="F35" i="1" a="1"/>
  <c r="G35" i="1" a="1"/>
  <c r="N34" i="1" a="1"/>
  <c r="O34" i="1" a="1"/>
  <c r="E35" i="1" a="1"/>
  <c r="M34" i="1" a="1"/>
  <c r="N34" i="1" l="1"/>
  <c r="O34" i="1"/>
  <c r="M34" i="1"/>
  <c r="G35" i="1"/>
  <c r="E35" i="1"/>
  <c r="F35" i="1"/>
  <c r="K35" i="1"/>
  <c r="L34" i="1"/>
  <c r="D35" i="1"/>
  <c r="C36" i="1"/>
  <c r="E36" i="1" a="1"/>
  <c r="O35" i="1" a="1"/>
  <c r="N35" i="1" a="1"/>
  <c r="F36" i="1" a="1"/>
  <c r="G36" i="1" a="1"/>
  <c r="M35" i="1" a="1"/>
  <c r="E36" i="1" l="1"/>
  <c r="F36" i="1"/>
  <c r="G36" i="1"/>
  <c r="M35" i="1"/>
  <c r="N35" i="1"/>
  <c r="O35" i="1"/>
  <c r="D36" i="1"/>
  <c r="K36" i="1"/>
  <c r="L35" i="1"/>
  <c r="C37" i="1"/>
  <c r="O36" i="1" a="1"/>
  <c r="F37" i="1" a="1"/>
  <c r="M36" i="1" a="1"/>
  <c r="N36" i="1" a="1"/>
  <c r="G37" i="1" a="1"/>
  <c r="E37" i="1" a="1"/>
  <c r="E37" i="1" l="1"/>
  <c r="G37" i="1"/>
  <c r="F37" i="1"/>
  <c r="N36" i="1"/>
  <c r="O36" i="1"/>
  <c r="M36" i="1"/>
  <c r="D37" i="1"/>
  <c r="K37" i="1"/>
  <c r="L36" i="1"/>
  <c r="C38" i="1"/>
  <c r="E38" i="1" a="1"/>
  <c r="G38" i="1" a="1"/>
  <c r="F38" i="1" a="1"/>
  <c r="O37" i="1" a="1"/>
  <c r="N37" i="1" a="1"/>
  <c r="M37" i="1" a="1"/>
  <c r="E38" i="1" l="1"/>
  <c r="F38" i="1"/>
  <c r="G38" i="1"/>
  <c r="M37" i="1"/>
  <c r="N37" i="1"/>
  <c r="O37" i="1"/>
  <c r="D38" i="1"/>
  <c r="K38" i="1"/>
  <c r="L37" i="1"/>
  <c r="C39" i="1"/>
  <c r="E39" i="1" a="1"/>
  <c r="G39" i="1" a="1"/>
  <c r="M38" i="1" a="1"/>
  <c r="F39" i="1" a="1"/>
  <c r="N38" i="1" a="1"/>
  <c r="O38" i="1" a="1"/>
  <c r="E39" i="1" l="1"/>
  <c r="G39" i="1"/>
  <c r="F39" i="1"/>
  <c r="N38" i="1"/>
  <c r="O38" i="1"/>
  <c r="M38" i="1"/>
  <c r="D39" i="1"/>
  <c r="K39" i="1"/>
  <c r="L38" i="1"/>
  <c r="C40" i="1"/>
  <c r="E40" i="1" a="1"/>
  <c r="O39" i="1" a="1"/>
  <c r="M39" i="1" a="1"/>
  <c r="G40" i="1" a="1"/>
  <c r="N39" i="1" a="1"/>
  <c r="F40" i="1" a="1"/>
  <c r="E40" i="1" l="1"/>
  <c r="F40" i="1"/>
  <c r="G40" i="1"/>
  <c r="M39" i="1"/>
  <c r="O39" i="1"/>
  <c r="N39" i="1"/>
  <c r="D40" i="1"/>
  <c r="K40" i="1"/>
  <c r="L39" i="1"/>
  <c r="C41" i="1"/>
  <c r="O40" i="1" a="1"/>
  <c r="N40" i="1" a="1"/>
  <c r="F41" i="1" a="1"/>
  <c r="E41" i="1" a="1"/>
  <c r="M40" i="1" a="1"/>
  <c r="G41" i="1" a="1"/>
  <c r="N40" i="1" l="1"/>
  <c r="O40" i="1"/>
  <c r="M40" i="1"/>
  <c r="G41" i="1"/>
  <c r="F41" i="1"/>
  <c r="E41" i="1"/>
  <c r="D41" i="1"/>
  <c r="K41" i="1"/>
  <c r="L41" i="1" s="1"/>
  <c r="L40" i="1"/>
  <c r="C42" i="1"/>
  <c r="F42" i="1" a="1"/>
  <c r="E42" i="1" a="1"/>
  <c r="G42" i="1" a="1"/>
  <c r="E42" i="1" l="1"/>
  <c r="F42" i="1"/>
  <c r="G42" i="1"/>
  <c r="D42" i="1"/>
  <c r="C43" i="1"/>
  <c r="D4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<sst xmlns="http://schemas.openxmlformats.org/spreadsheetml/2006/main" count="238" uniqueCount="62">
  <si>
    <t>StockPrice</t>
    <phoneticPr fontId="1"/>
  </si>
  <si>
    <t>Stike</t>
    <phoneticPr fontId="1"/>
  </si>
  <si>
    <t xml:space="preserve">rate </t>
    <phoneticPr fontId="1"/>
  </si>
  <si>
    <t>sigma</t>
    <phoneticPr fontId="1"/>
  </si>
  <si>
    <t>TimeofExpiration</t>
    <phoneticPr fontId="1"/>
  </si>
  <si>
    <t>diff</t>
    <phoneticPr fontId="1"/>
  </si>
  <si>
    <t>Setting</t>
    <phoneticPr fontId="1"/>
  </si>
  <si>
    <t>Style</t>
    <phoneticPr fontId="1"/>
  </si>
  <si>
    <t>Call</t>
  </si>
  <si>
    <t>Algorithm Prameter</t>
    <phoneticPr fontId="1"/>
  </si>
  <si>
    <t>MarketPrice</t>
    <phoneticPr fontId="1"/>
  </si>
  <si>
    <t>MarketCallOption</t>
    <phoneticPr fontId="1"/>
  </si>
  <si>
    <t>MarketPutOptioin</t>
    <phoneticPr fontId="1"/>
  </si>
  <si>
    <t>sigma</t>
    <phoneticPr fontId="1"/>
  </si>
  <si>
    <t>rate</t>
    <phoneticPr fontId="1"/>
  </si>
  <si>
    <t>T</t>
    <phoneticPr fontId="1"/>
  </si>
  <si>
    <t>CurrentTime</t>
    <phoneticPr fontId="1"/>
  </si>
  <si>
    <t>K</t>
    <phoneticPr fontId="1"/>
  </si>
  <si>
    <t>Strike</t>
    <phoneticPr fontId="1"/>
  </si>
  <si>
    <t>S</t>
    <phoneticPr fontId="1"/>
  </si>
  <si>
    <t>Stock</t>
    <phoneticPr fontId="1"/>
  </si>
  <si>
    <t>Put</t>
  </si>
  <si>
    <t>IV</t>
    <phoneticPr fontId="1"/>
  </si>
  <si>
    <t>strike</t>
    <phoneticPr fontId="1"/>
  </si>
  <si>
    <t>ITM</t>
    <phoneticPr fontId="1"/>
  </si>
  <si>
    <t>OTM</t>
    <phoneticPr fontId="1"/>
  </si>
  <si>
    <t>ATM</t>
    <phoneticPr fontId="1"/>
  </si>
  <si>
    <t>Call</t>
    <phoneticPr fontId="1"/>
  </si>
  <si>
    <t>Gamma_ITM</t>
    <phoneticPr fontId="1"/>
  </si>
  <si>
    <t>Gamma_ATM</t>
    <phoneticPr fontId="1"/>
  </si>
  <si>
    <t>Gamma_OTM</t>
    <phoneticPr fontId="1"/>
  </si>
  <si>
    <t>vega_ITM</t>
    <phoneticPr fontId="1"/>
  </si>
  <si>
    <t>vega_ATM</t>
    <phoneticPr fontId="1"/>
  </si>
  <si>
    <t>vega_OTM</t>
    <phoneticPr fontId="1"/>
  </si>
  <si>
    <t>ThetaCall_ITM</t>
    <phoneticPr fontId="1"/>
  </si>
  <si>
    <t>ThetaCall_OTM</t>
    <phoneticPr fontId="1"/>
  </si>
  <si>
    <t>ThetaCall_ATM</t>
    <phoneticPr fontId="1"/>
  </si>
  <si>
    <t>ThetaPut_ITM</t>
    <phoneticPr fontId="1"/>
  </si>
  <si>
    <t>ThetaPut_OTM</t>
    <phoneticPr fontId="1"/>
  </si>
  <si>
    <t>ThetaPut_ATM</t>
    <phoneticPr fontId="1"/>
  </si>
  <si>
    <t>RhoCall_ITM</t>
    <phoneticPr fontId="1"/>
  </si>
  <si>
    <t>Future Price</t>
    <phoneticPr fontId="1"/>
  </si>
  <si>
    <t>https://www.glynholton.com/notes/black_1976/</t>
    <phoneticPr fontId="1"/>
  </si>
  <si>
    <t>d+_ITM</t>
    <phoneticPr fontId="1"/>
  </si>
  <si>
    <t>d+_ATM</t>
    <phoneticPr fontId="1"/>
  </si>
  <si>
    <t>d+_OTM</t>
    <phoneticPr fontId="1"/>
  </si>
  <si>
    <t>d-_ITM</t>
  </si>
  <si>
    <t>d-_ATM</t>
  </si>
  <si>
    <t>d-_OTM</t>
  </si>
  <si>
    <t>DeltaCall_ITM</t>
    <phoneticPr fontId="1"/>
  </si>
  <si>
    <t>DeltaCall_ATM</t>
    <phoneticPr fontId="1"/>
  </si>
  <si>
    <t>DeltaCall_OTM</t>
    <phoneticPr fontId="1"/>
  </si>
  <si>
    <t>DeltaPut_ITM</t>
    <phoneticPr fontId="1"/>
  </si>
  <si>
    <t>DeltaPut_ATM</t>
    <phoneticPr fontId="1"/>
  </si>
  <si>
    <t>DeltaPut_OTM</t>
    <phoneticPr fontId="1"/>
  </si>
  <si>
    <t xml:space="preserve"> </t>
    <phoneticPr fontId="1"/>
  </si>
  <si>
    <t>RhoCall_ATM</t>
    <phoneticPr fontId="1"/>
  </si>
  <si>
    <t>RhoCall_OTM</t>
    <phoneticPr fontId="1"/>
  </si>
  <si>
    <t>RhoPut_ITM</t>
    <phoneticPr fontId="1"/>
  </si>
  <si>
    <t>RhoPut_ATM</t>
    <phoneticPr fontId="1"/>
  </si>
  <si>
    <t>RhoPut_OTM</t>
    <phoneticPr fontId="1"/>
  </si>
  <si>
    <t>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</si>
</sst>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00"/>
    <numFmt numFmtId="177" formatCode="0.000000000000000"/>
    <numFmt numFmtId="178" formatCode="0.00000"/>
    <numFmt numFmtId="179" formatCode="0.00000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Times New Roman"/>
      <family val="1"/>
    </font>
    <font>
      <u/>
      <sz val="11"/>
      <color theme="1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179" fontId="0" fillId="0" borderId="0" xfId="0" applyNumberFormat="1">
      <alignment vertical="center"/>
    </xf>
    <xf numFmtId="0" fontId="3" fillId="2" borderId="0" xfId="0" applyFont="1" applyFill="1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0" fontId="0" fillId="3" borderId="0" xfId="0" applyFill="1">
      <alignment vertical="center"/>
    </xf>
    <xf numFmtId="0" fontId="3" fillId="4" borderId="0" xfId="0" applyFont="1" applyFill="1">
      <alignment vertical="center"/>
    </xf>
    <xf numFmtId="0" fontId="0" fillId="4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3" fillId="7" borderId="0" xfId="0" applyFont="1" applyFill="1">
      <alignment vertical="center"/>
    </xf>
    <xf numFmtId="0" fontId="0" fillId="7" borderId="0" xfId="0" applyFill="1">
      <alignment vertical="center"/>
    </xf>
    <xf numFmtId="0" fontId="4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Sigma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各パラメータごとの形状!$C$12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各パラメータごとの形状!$B$13:$B$28</c:f>
              <c:numCache>
                <c:formatCode>General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各パラメータごとの形状!$C$13:$C$28</c:f>
              <c:numCache>
                <c:formatCode>General</c:formatCode>
                <c:ptCount val="16"/>
                <c:pt idx="0">
                  <c:v>5693.5966190913314</c:v>
                </c:pt>
                <c:pt idx="1">
                  <c:v>5696.7514825565158</c:v>
                </c:pt>
                <c:pt idx="2">
                  <c:v>5705.9559832897794</c:v>
                </c:pt>
                <c:pt idx="3">
                  <c:v>5724.1932162495505</c:v>
                </c:pt>
                <c:pt idx="4">
                  <c:v>5753.1000981120669</c:v>
                </c:pt>
                <c:pt idx="5">
                  <c:v>5793.0745647232725</c:v>
                </c:pt>
                <c:pt idx="6">
                  <c:v>5843.7105572154251</c:v>
                </c:pt>
                <c:pt idx="7">
                  <c:v>5904.1857297711758</c:v>
                </c:pt>
                <c:pt idx="8">
                  <c:v>5973.5174774969673</c:v>
                </c:pt>
                <c:pt idx="9">
                  <c:v>6050.7084744398671</c:v>
                </c:pt>
                <c:pt idx="10">
                  <c:v>6134.8199677815101</c:v>
                </c:pt>
                <c:pt idx="11">
                  <c:v>6225.0029281228381</c:v>
                </c:pt>
                <c:pt idx="12">
                  <c:v>6320.5063984531371</c:v>
                </c:pt>
                <c:pt idx="13">
                  <c:v>6420.674396414146</c:v>
                </c:pt>
                <c:pt idx="14">
                  <c:v>6524.9376864307669</c:v>
                </c:pt>
                <c:pt idx="15">
                  <c:v>6632.8037845021099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A2-4FCC-A570-5FBA3D1E6325}"/>
            </c:ext>
          </c:extLst>
        </c:ser>
        <c:ser>
          <c:idx val="1"/>
          <c:order val="1"/>
          <c:tx>
            <c:strRef>
              <c:f>各パラメータごとの形状!$D$12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各パラメータごとの形状!$B$13:$B$28</c:f>
              <c:numCache>
                <c:formatCode>General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各パラメータごとの形状!$D$13:$D$28</c:f>
              <c:numCache>
                <c:formatCode>General</c:formatCode>
                <c:ptCount val="16"/>
                <c:pt idx="0">
                  <c:v>1092.2420112201835</c:v>
                </c:pt>
                <c:pt idx="1">
                  <c:v>1221.5210541063825</c:v>
                </c:pt>
                <c:pt idx="2">
                  <c:v>1353.2643374715408</c:v>
                </c:pt>
                <c:pt idx="3">
                  <c:v>1486.5613502598972</c:v>
                </c:pt>
                <c:pt idx="4">
                  <c:v>1620.8933504340057</c:v>
                </c:pt>
                <c:pt idx="5">
                  <c:v>1755.9432121918435</c:v>
                </c:pt>
                <c:pt idx="6">
                  <c:v>1891.5058851451904</c:v>
                </c:pt>
                <c:pt idx="7">
                  <c:v>2027.4425625007389</c:v>
                </c:pt>
                <c:pt idx="8">
                  <c:v>2163.6555939677091</c:v>
                </c:pt>
                <c:pt idx="9">
                  <c:v>2300.0739775284128</c:v>
                </c:pt>
                <c:pt idx="10">
                  <c:v>2436.644575593953</c:v>
                </c:pt>
                <c:pt idx="11">
                  <c:v>2573.3265866897818</c:v>
                </c:pt>
                <c:pt idx="12">
                  <c:v>2710.0879485862934</c:v>
                </c:pt>
                <c:pt idx="13">
                  <c:v>2846.9029297891793</c:v>
                </c:pt>
                <c:pt idx="14">
                  <c:v>2983.7504756967901</c:v>
                </c:pt>
                <c:pt idx="15">
                  <c:v>3120.6130475003883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1-43A6-AE93-F8A5FC171EF8}"/>
            </c:ext>
          </c:extLst>
        </c:ser>
        <c:ser>
          <c:idx val="2"/>
          <c:order val="2"/>
          <c:tx>
            <c:strRef>
              <c:f>各パラメータごとの形状!$E$12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各パラメータごとの形状!$B$13:$B$28</c:f>
              <c:numCache>
                <c:formatCode>General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各パラメータごとの形状!$E$13:$E$28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8.4872383303386414</c:v>
                </c:pt>
                <c:pt idx="2">
                  <c:v>23.772946875527168</c:v>
                </c:pt>
                <c:pt idx="3">
                  <c:v>49.615314673658531</c:v>
                </c:pt>
                <c:pt idx="4">
                  <c:v>86.391847534212957</c:v>
                </c:pt>
                <c:pt idx="5">
                  <c:v>133.51818454345675</c:v>
                </c:pt>
                <c:pt idx="6">
                  <c:v>189.97807426346571</c:v>
                </c:pt>
                <c:pt idx="7">
                  <c:v>254.63959773933675</c:v>
                </c:pt>
                <c:pt idx="8">
                  <c:v>326.41271801455605</c:v>
                </c:pt>
                <c:pt idx="9">
                  <c:v>404.31498434990863</c:v>
                </c:pt>
                <c:pt idx="10">
                  <c:v>487.49009525564634</c:v>
                </c:pt>
                <c:pt idx="11">
                  <c:v>575.20449174853638</c:v>
                </c:pt>
                <c:pt idx="12">
                  <c:v>666.83502223888445</c:v>
                </c:pt>
                <c:pt idx="13">
                  <c:v>761.85404221985937</c:v>
                </c:pt>
                <c:pt idx="14">
                  <c:v>859.81484454698239</c:v>
                </c:pt>
                <c:pt idx="15">
                  <c:v>960.33858534784849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81-43A6-AE93-F8A5FC171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153904"/>
        <c:axId val="1565349296"/>
      </c:scatterChart>
      <c:valAx>
        <c:axId val="156615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5349296"/>
        <c:crosses val="autoZero"/>
        <c:crossBetween val="midCat"/>
      </c:valAx>
      <c:valAx>
        <c:axId val="156534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615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279517057684856"/>
          <c:y val="0.17019485012685817"/>
          <c:w val="0.83019112097810788"/>
          <c:h val="0.7443966799597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各パラメータごとの形状!$M$12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各パラメータごとの形状!$M$13:$M$28</c:f>
              <c:numCache>
                <c:formatCode>General</c:formatCode>
                <c:ptCount val="16"/>
                <c:pt idx="0">
                  <c:v>5693.5966190913314</c:v>
                </c:pt>
                <c:pt idx="1">
                  <c:v>6034.6683913259039</c:v>
                </c:pt>
                <c:pt idx="2">
                  <c:v>6372.4900819838658</c:v>
                </c:pt>
                <c:pt idx="3">
                  <c:v>6707.0235485164594</c:v>
                </c:pt>
                <c:pt idx="4">
                  <c:v>7038.2641602287549</c:v>
                </c:pt>
                <c:pt idx="5">
                  <c:v>7366.2257173095168</c:v>
                </c:pt>
                <c:pt idx="6">
                  <c:v>7690.9316173403786</c:v>
                </c:pt>
                <c:pt idx="7">
                  <c:v>8012.4099480764962</c:v>
                </c:pt>
                <c:pt idx="8">
                  <c:v>8330.6908973319041</c:v>
                </c:pt>
                <c:pt idx="9">
                  <c:v>8645.8054525129592</c:v>
                </c:pt>
                <c:pt idx="10">
                  <c:v>8957.7847792287102</c:v>
                </c:pt>
                <c:pt idx="11">
                  <c:v>9266.6599389912299</c:v>
                </c:pt>
                <c:pt idx="12">
                  <c:v>9572.4617677761889</c:v>
                </c:pt>
                <c:pt idx="13">
                  <c:v>9875.2208271815798</c:v>
                </c:pt>
                <c:pt idx="14">
                  <c:v>10174.967386788408</c:v>
                </c:pt>
                <c:pt idx="15">
                  <c:v>10471.731419298179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49-423F-B8C4-9DE3BE2B4B07}"/>
            </c:ext>
          </c:extLst>
        </c:ser>
        <c:ser>
          <c:idx val="1"/>
          <c:order val="1"/>
          <c:tx>
            <c:strRef>
              <c:f>各パラメータごとの形状!$N$12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各パラメータごとの形状!$N$13:$N$28</c:f>
              <c:numCache>
                <c:formatCode>General</c:formatCode>
                <c:ptCount val="16"/>
                <c:pt idx="0">
                  <c:v>1092.2420112201835</c:v>
                </c:pt>
                <c:pt idx="1">
                  <c:v>1325.1400597337451</c:v>
                </c:pt>
                <c:pt idx="2">
                  <c:v>1578.5288171349675</c:v>
                </c:pt>
                <c:pt idx="3">
                  <c:v>1849.1441456774737</c:v>
                </c:pt>
                <c:pt idx="4">
                  <c:v>2133.4989184601982</c:v>
                </c:pt>
                <c:pt idx="5">
                  <c:v>2428.1647753386642</c:v>
                </c:pt>
                <c:pt idx="6">
                  <c:v>2729.9974868062418</c:v>
                </c:pt>
                <c:pt idx="7">
                  <c:v>3036.2858070062248</c:v>
                </c:pt>
                <c:pt idx="8">
                  <c:v>3344.8209570653999</c:v>
                </c:pt>
                <c:pt idx="9">
                  <c:v>3653.8978166346787</c:v>
                </c:pt>
                <c:pt idx="10">
                  <c:v>3962.2670916270908</c:v>
                </c:pt>
                <c:pt idx="11">
                  <c:v>4269.0598586964879</c:v>
                </c:pt>
                <c:pt idx="12">
                  <c:v>4573.7032867676207</c:v>
                </c:pt>
                <c:pt idx="13">
                  <c:v>4875.8411043635933</c:v>
                </c:pt>
                <c:pt idx="14">
                  <c:v>5175.266561827586</c:v>
                </c:pt>
                <c:pt idx="15">
                  <c:v>5471.8706769911478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83-484D-B9DA-0350BD6BF123}"/>
            </c:ext>
          </c:extLst>
        </c:ser>
        <c:ser>
          <c:idx val="2"/>
          <c:order val="2"/>
          <c:tx>
            <c:strRef>
              <c:f>各パラメータごとの形状!$O$12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各パラメータごとの形状!$O$13:$O$28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3.3703020822162841</c:v>
                </c:pt>
                <c:pt idx="2">
                  <c:v>6.109291526686377</c:v>
                </c:pt>
                <c:pt idx="3">
                  <c:v>10.708112454806724</c:v>
                </c:pt>
                <c:pt idx="4">
                  <c:v>18.158383460987352</c:v>
                </c:pt>
                <c:pt idx="5">
                  <c:v>29.809273411890899</c:v>
                </c:pt>
                <c:pt idx="6">
                  <c:v>47.405794482001966</c:v>
                </c:pt>
                <c:pt idx="7">
                  <c:v>73.087622387982719</c:v>
                </c:pt>
                <c:pt idx="8">
                  <c:v>109.33224302265171</c:v>
                </c:pt>
                <c:pt idx="9">
                  <c:v>158.83264057542056</c:v>
                </c:pt>
                <c:pt idx="10">
                  <c:v>224.31107113054895</c:v>
                </c:pt>
                <c:pt idx="11">
                  <c:v>308.28484837902761</c:v>
                </c:pt>
                <c:pt idx="12">
                  <c:v>412.8140306653313</c:v>
                </c:pt>
                <c:pt idx="13">
                  <c:v>539.27023066397305</c:v>
                </c:pt>
                <c:pt idx="14">
                  <c:v>688.166927950424</c:v>
                </c:pt>
                <c:pt idx="15">
                  <c:v>859.08319372338519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83-484D-B9DA-0350BD6BF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424592"/>
        <c:axId val="1986425072"/>
      </c:scatterChart>
      <c:valAx>
        <c:axId val="198642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6425072"/>
        <c:crosses val="autoZero"/>
        <c:crossBetween val="midCat"/>
      </c:valAx>
      <c:valAx>
        <c:axId val="198642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642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各パラメータごとの形状!$R$12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各パラメータごとの形状!$Q$13:$Q$28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xVal>
          <c:yVal>
            <c:numRef>
              <c:f>各パラメータごとの形状!$R$13:$R$28</c:f>
              <c:numCache>
                <c:formatCode>General</c:formatCode>
                <c:ptCount val="16"/>
                <c:pt idx="0">
                  <c:v>5002.1818468785132</c:v>
                </c:pt>
                <c:pt idx="1">
                  <c:v>8330.6908973319041</c:v>
                </c:pt>
                <c:pt idx="2">
                  <c:v>11344.423642273734</c:v>
                </c:pt>
                <c:pt idx="3">
                  <c:v>14071.362276139873</c:v>
                </c:pt>
                <c:pt idx="4">
                  <c:v>16538.798388752624</c:v>
                </c:pt>
                <c:pt idx="5">
                  <c:v>18771.426910057831</c:v>
                </c:pt>
                <c:pt idx="6">
                  <c:v>20791.592736709074</c:v>
                </c:pt>
                <c:pt idx="7">
                  <c:v>22619.514367300668</c:v>
                </c:pt>
                <c:pt idx="8">
                  <c:v>24273.486255897245</c:v>
                </c:pt>
                <c:pt idx="9">
                  <c:v>25770.061909079031</c:v>
                </c:pt>
                <c:pt idx="10">
                  <c:v>27124.219558999517</c:v>
                </c:pt>
                <c:pt idx="11">
                  <c:v>28349.512070567216</c:v>
                </c:pt>
                <c:pt idx="12">
                  <c:v>29458.202583072925</c:v>
                </c:pt>
                <c:pt idx="13">
                  <c:v>30461.387243809557</c:v>
                </c:pt>
                <c:pt idx="14">
                  <c:v>31369.106262043773</c:v>
                </c:pt>
                <c:pt idx="15">
                  <c:v>32190.444394804956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E1-4A02-AD21-FE581DCCF133}"/>
            </c:ext>
          </c:extLst>
        </c:ser>
        <c:ser>
          <c:idx val="1"/>
          <c:order val="1"/>
          <c:tx>
            <c:strRef>
              <c:f>各パラメータごとの形状!$S$12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各パラメータごとの形状!$Q$13:$Q$28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xVal>
          <c:yVal>
            <c:numRef>
              <c:f>各パラメータごとの形状!$S$13:$S$28</c:f>
              <c:numCache>
                <c:formatCode>General</c:formatCode>
                <c:ptCount val="16"/>
                <c:pt idx="0">
                  <c:v>698.07627366666566</c:v>
                </c:pt>
                <c:pt idx="1">
                  <c:v>3344.8209570653999</c:v>
                </c:pt>
                <c:pt idx="2">
                  <c:v>6344.4349533237582</c:v>
                </c:pt>
                <c:pt idx="3">
                  <c:v>9071.3622763753192</c:v>
                </c:pt>
                <c:pt idx="4">
                  <c:v>11538.798388752621</c:v>
                </c:pt>
                <c:pt idx="5">
                  <c:v>13771.426910057831</c:v>
                </c:pt>
                <c:pt idx="6">
                  <c:v>15791.592736709074</c:v>
                </c:pt>
                <c:pt idx="7">
                  <c:v>17619.514367300668</c:v>
                </c:pt>
                <c:pt idx="8">
                  <c:v>19273.486255897245</c:v>
                </c:pt>
                <c:pt idx="9">
                  <c:v>20770.061909079031</c:v>
                </c:pt>
                <c:pt idx="10">
                  <c:v>22124.219558999517</c:v>
                </c:pt>
                <c:pt idx="11">
                  <c:v>23349.512070567216</c:v>
                </c:pt>
                <c:pt idx="12">
                  <c:v>24458.202583072925</c:v>
                </c:pt>
                <c:pt idx="13">
                  <c:v>25461.387243809557</c:v>
                </c:pt>
                <c:pt idx="14">
                  <c:v>26369.106262043773</c:v>
                </c:pt>
                <c:pt idx="15">
                  <c:v>27190.444394804956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E7-49B9-814B-F584A1FD4AE6}"/>
            </c:ext>
          </c:extLst>
        </c:ser>
        <c:ser>
          <c:idx val="2"/>
          <c:order val="2"/>
          <c:tx>
            <c:strRef>
              <c:f>各パラメータごとの形状!$T$12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各パラメータごとの形状!$Q$13:$Q$28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xVal>
          <c:yVal>
            <c:numRef>
              <c:f>各パラメータごとの形状!$T$13:$T$28</c:f>
              <c:numCache>
                <c:formatCode>General</c:formatCode>
                <c:ptCount val="16"/>
                <c:pt idx="0">
                  <c:v>0.46027449629794148</c:v>
                </c:pt>
                <c:pt idx="1">
                  <c:v>109.33224302265171</c:v>
                </c:pt>
                <c:pt idx="2">
                  <c:v>1487.1010983076594</c:v>
                </c:pt>
                <c:pt idx="3">
                  <c:v>4072.0744335267918</c:v>
                </c:pt>
                <c:pt idx="4">
                  <c:v>6538.7984990389159</c:v>
                </c:pt>
                <c:pt idx="5">
                  <c:v>8771.4269100582351</c:v>
                </c:pt>
                <c:pt idx="6">
                  <c:v>10791.592736709074</c:v>
                </c:pt>
                <c:pt idx="7">
                  <c:v>12619.514367300668</c:v>
                </c:pt>
                <c:pt idx="8">
                  <c:v>14273.486255897245</c:v>
                </c:pt>
                <c:pt idx="9">
                  <c:v>15770.061909079031</c:v>
                </c:pt>
                <c:pt idx="10">
                  <c:v>17124.219558999517</c:v>
                </c:pt>
                <c:pt idx="11">
                  <c:v>18349.512070567216</c:v>
                </c:pt>
                <c:pt idx="12">
                  <c:v>19458.202583072925</c:v>
                </c:pt>
                <c:pt idx="13">
                  <c:v>20461.387243809557</c:v>
                </c:pt>
                <c:pt idx="14">
                  <c:v>21369.106262043773</c:v>
                </c:pt>
                <c:pt idx="15">
                  <c:v>22190.444394804956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E7-49B9-814B-F584A1FD4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22896"/>
        <c:axId val="2040816656"/>
      </c:scatterChart>
      <c:valAx>
        <c:axId val="20408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16656"/>
        <c:crosses val="autoZero"/>
        <c:crossBetween val="midCat"/>
      </c:valAx>
      <c:valAx>
        <c:axId val="204081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各パラメータごとの形状!$H$12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各パラメータごとの形状!$G$13:$G$28</c:f>
              <c:numCache>
                <c:formatCode>General</c:formatCode>
                <c:ptCount val="1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</c:numCache>
            </c:numRef>
          </c:xVal>
          <c:yVal>
            <c:numRef>
              <c:f>各パラメータごとの形状!$H$13:$H$28</c:f>
              <c:numCache>
                <c:formatCode>General</c:formatCode>
                <c:ptCount val="16"/>
                <c:pt idx="0">
                  <c:v>5693.5966190913314</c:v>
                </c:pt>
                <c:pt idx="1">
                  <c:v>5793.0745647232725</c:v>
                </c:pt>
                <c:pt idx="2">
                  <c:v>6134.8199677815101</c:v>
                </c:pt>
                <c:pt idx="3">
                  <c:v>6632.8037845021099</c:v>
                </c:pt>
                <c:pt idx="4">
                  <c:v>7213.11405096819</c:v>
                </c:pt>
                <c:pt idx="5">
                  <c:v>7838.7035003355304</c:v>
                </c:pt>
                <c:pt idx="6">
                  <c:v>8490.518609232</c:v>
                </c:pt>
                <c:pt idx="7">
                  <c:v>9157.9402439277073</c:v>
                </c:pt>
                <c:pt idx="8">
                  <c:v>9834.5677266081002</c:v>
                </c:pt>
                <c:pt idx="9">
                  <c:v>10516.266707003593</c:v>
                </c:pt>
                <c:pt idx="10">
                  <c:v>11200.200553700644</c:v>
                </c:pt>
                <c:pt idx="11">
                  <c:v>11884.317668730753</c:v>
                </c:pt>
                <c:pt idx="12">
                  <c:v>12567.064462713528</c:v>
                </c:pt>
                <c:pt idx="13">
                  <c:v>13247.216781902715</c:v>
                </c:pt>
                <c:pt idx="14">
                  <c:v>13923.776777837627</c:v>
                </c:pt>
                <c:pt idx="15">
                  <c:v>14595.907571640382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CC-461B-969A-7AC6C2E4B11A}"/>
            </c:ext>
          </c:extLst>
        </c:ser>
        <c:ser>
          <c:idx val="1"/>
          <c:order val="1"/>
          <c:tx>
            <c:strRef>
              <c:f>各パラメータごとの形状!$I$12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各パラメータごとの形状!$G$13:$G$28</c:f>
              <c:numCache>
                <c:formatCode>General</c:formatCode>
                <c:ptCount val="1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</c:numCache>
            </c:numRef>
          </c:xVal>
          <c:yVal>
            <c:numRef>
              <c:f>各パラメータごとの形状!$I$13:$I$28</c:f>
              <c:numCache>
                <c:formatCode>General</c:formatCode>
                <c:ptCount val="16"/>
                <c:pt idx="0">
                  <c:v>1092.2420112201835</c:v>
                </c:pt>
                <c:pt idx="1">
                  <c:v>1755.9432121918435</c:v>
                </c:pt>
                <c:pt idx="2">
                  <c:v>2436.644575593953</c:v>
                </c:pt>
                <c:pt idx="3">
                  <c:v>3120.6130475003883</c:v>
                </c:pt>
                <c:pt idx="4">
                  <c:v>3804.6954716951586</c:v>
                </c:pt>
                <c:pt idx="5">
                  <c:v>4487.5534874419973</c:v>
                </c:pt>
                <c:pt idx="6">
                  <c:v>5168.3742737991197</c:v>
                </c:pt>
                <c:pt idx="7">
                  <c:v>5846.5460198763831</c:v>
                </c:pt>
                <c:pt idx="8">
                  <c:v>6521.5498190363342</c:v>
                </c:pt>
                <c:pt idx="9">
                  <c:v>7192.9167679250859</c:v>
                </c:pt>
                <c:pt idx="10">
                  <c:v>7860.2088231782509</c:v>
                </c:pt>
                <c:pt idx="11">
                  <c:v>8523.0095595174225</c:v>
                </c:pt>
                <c:pt idx="12">
                  <c:v>9180.9194890478648</c:v>
                </c:pt>
                <c:pt idx="13">
                  <c:v>9833.5536492138763</c:v>
                </c:pt>
                <c:pt idx="14">
                  <c:v>10480.540387682124</c:v>
                </c:pt>
                <c:pt idx="15">
                  <c:v>11121.520807131519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3A-4B16-AFEF-D07D157488EE}"/>
            </c:ext>
          </c:extLst>
        </c:ser>
        <c:ser>
          <c:idx val="2"/>
          <c:order val="2"/>
          <c:tx>
            <c:strRef>
              <c:f>各パラメータごとの形状!$J$12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各パラメータごとの形状!$G$13:$G$28</c:f>
              <c:numCache>
                <c:formatCode>General</c:formatCode>
                <c:ptCount val="1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</c:numCache>
            </c:numRef>
          </c:xVal>
          <c:yVal>
            <c:numRef>
              <c:f>各パラメータごとの形状!$J$13:$J$28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133.51818454345675</c:v>
                </c:pt>
                <c:pt idx="2">
                  <c:v>487.49009525564634</c:v>
                </c:pt>
                <c:pt idx="3">
                  <c:v>960.33858534784849</c:v>
                </c:pt>
                <c:pt idx="4">
                  <c:v>1491.6190077335978</c:v>
                </c:pt>
                <c:pt idx="5">
                  <c:v>2053.8821140178698</c:v>
                </c:pt>
                <c:pt idx="6">
                  <c:v>2633.5479287122998</c:v>
                </c:pt>
                <c:pt idx="7">
                  <c:v>3223.1728842611301</c:v>
                </c:pt>
                <c:pt idx="8">
                  <c:v>3818.293896567895</c:v>
                </c:pt>
                <c:pt idx="9">
                  <c:v>4416.0221836993769</c:v>
                </c:pt>
                <c:pt idx="10">
                  <c:v>5014.361073891554</c:v>
                </c:pt>
                <c:pt idx="11">
                  <c:v>5611.8501483259097</c:v>
                </c:pt>
                <c:pt idx="12">
                  <c:v>6207.3680333035973</c:v>
                </c:pt>
                <c:pt idx="13">
                  <c:v>6800.0174508101136</c:v>
                </c:pt>
                <c:pt idx="14">
                  <c:v>7389.0553131054385</c:v>
                </c:pt>
                <c:pt idx="15">
                  <c:v>7973.8486576049945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3A-4B16-AFEF-D07D15748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66399"/>
        <c:axId val="81484639"/>
      </c:scatterChart>
      <c:valAx>
        <c:axId val="81466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84639"/>
        <c:crosses val="autoZero"/>
        <c:crossBetween val="midCat"/>
      </c:valAx>
      <c:valAx>
        <c:axId val="8148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663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TimeOfExpiration ( T=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各パラメータごとの形状!$E$30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各パラメータごとの形状!$D$31:$D$42</c:f>
              <c:numCache>
                <c:formatCode>General</c:formatCode>
                <c:ptCount val="12"/>
                <c:pt idx="0">
                  <c:v>0</c:v>
                </c:pt>
                <c:pt idx="1">
                  <c:v>8.333333333333337E-2</c:v>
                </c:pt>
                <c:pt idx="2">
                  <c:v>0.16666666666666674</c:v>
                </c:pt>
                <c:pt idx="3">
                  <c:v>0.25000000000000011</c:v>
                </c:pt>
                <c:pt idx="4">
                  <c:v>0.33333333333333348</c:v>
                </c:pt>
                <c:pt idx="5">
                  <c:v>0.41666666666666685</c:v>
                </c:pt>
                <c:pt idx="6">
                  <c:v>0.50000000000000022</c:v>
                </c:pt>
                <c:pt idx="7">
                  <c:v>0.58333333333333348</c:v>
                </c:pt>
                <c:pt idx="8">
                  <c:v>0.66666666666666674</c:v>
                </c:pt>
                <c:pt idx="9">
                  <c:v>0.75000000000000011</c:v>
                </c:pt>
                <c:pt idx="10">
                  <c:v>0.83333333333333348</c:v>
                </c:pt>
                <c:pt idx="11">
                  <c:v>0.91666666666666674</c:v>
                </c:pt>
              </c:numCache>
            </c:numRef>
          </c:xVal>
          <c:yVal>
            <c:numRef>
              <c:f>各パラメータごとの形状!$E$31:$E$42</c:f>
              <c:numCache>
                <c:formatCode>General</c:formatCode>
                <c:ptCount val="12"/>
                <c:pt idx="0">
                  <c:v>5693.5966190913314</c:v>
                </c:pt>
                <c:pt idx="1">
                  <c:v>5636.1845811236271</c:v>
                </c:pt>
                <c:pt idx="2">
                  <c:v>5578.7223782609726</c:v>
                </c:pt>
                <c:pt idx="3">
                  <c:v>5521.2059614851387</c:v>
                </c:pt>
                <c:pt idx="4">
                  <c:v>5463.6292936378013</c:v>
                </c:pt>
                <c:pt idx="5">
                  <c:v>5405.9845823689466</c:v>
                </c:pt>
                <c:pt idx="6">
                  <c:v>5348.2630250094153</c:v>
                </c:pt>
                <c:pt idx="7">
                  <c:v>5290.4561426088912</c:v>
                </c:pt>
                <c:pt idx="8">
                  <c:v>5232.557404029154</c:v>
                </c:pt>
                <c:pt idx="9">
                  <c:v>5174.5632306415137</c:v>
                </c:pt>
                <c:pt idx="10">
                  <c:v>5116.4724380927873</c:v>
                </c:pt>
                <c:pt idx="11">
                  <c:v>5058.2847492171422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B-4512-B17F-1A51F4F95226}"/>
            </c:ext>
          </c:extLst>
        </c:ser>
        <c:ser>
          <c:idx val="1"/>
          <c:order val="1"/>
          <c:tx>
            <c:strRef>
              <c:f>各パラメータごとの形状!$F$30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各パラメータごとの形状!$D$31:$D$42</c:f>
              <c:numCache>
                <c:formatCode>General</c:formatCode>
                <c:ptCount val="12"/>
                <c:pt idx="0">
                  <c:v>0</c:v>
                </c:pt>
                <c:pt idx="1">
                  <c:v>8.333333333333337E-2</c:v>
                </c:pt>
                <c:pt idx="2">
                  <c:v>0.16666666666666674</c:v>
                </c:pt>
                <c:pt idx="3">
                  <c:v>0.25000000000000011</c:v>
                </c:pt>
                <c:pt idx="4">
                  <c:v>0.33333333333333348</c:v>
                </c:pt>
                <c:pt idx="5">
                  <c:v>0.41666666666666685</c:v>
                </c:pt>
                <c:pt idx="6">
                  <c:v>0.50000000000000022</c:v>
                </c:pt>
                <c:pt idx="7">
                  <c:v>0.58333333333333348</c:v>
                </c:pt>
                <c:pt idx="8">
                  <c:v>0.66666666666666674</c:v>
                </c:pt>
                <c:pt idx="9">
                  <c:v>0.75000000000000011</c:v>
                </c:pt>
                <c:pt idx="10">
                  <c:v>0.83333333333333348</c:v>
                </c:pt>
                <c:pt idx="11">
                  <c:v>0.91666666666666674</c:v>
                </c:pt>
              </c:numCache>
            </c:numRef>
          </c:xVal>
          <c:yVal>
            <c:numRef>
              <c:f>各パラメータごとの形状!$F$31:$F$42</c:f>
              <c:numCache>
                <c:formatCode>General</c:formatCode>
                <c:ptCount val="12"/>
                <c:pt idx="0">
                  <c:v>1092.2420112201835</c:v>
                </c:pt>
                <c:pt idx="1">
                  <c:v>1028.1745912991501</c:v>
                </c:pt>
                <c:pt idx="2">
                  <c:v>962.9104170886385</c:v>
                </c:pt>
                <c:pt idx="3">
                  <c:v>896.25002429591405</c:v>
                </c:pt>
                <c:pt idx="4">
                  <c:v>827.93478890506231</c:v>
                </c:pt>
                <c:pt idx="5">
                  <c:v>757.61966015728467</c:v>
                </c:pt>
                <c:pt idx="6">
                  <c:v>684.82737634104706</c:v>
                </c:pt>
                <c:pt idx="7">
                  <c:v>608.86605928972131</c:v>
                </c:pt>
                <c:pt idx="8">
                  <c:v>528.6665559431749</c:v>
                </c:pt>
                <c:pt idx="9">
                  <c:v>442.41693208587458</c:v>
                </c:pt>
                <c:pt idx="10">
                  <c:v>346.56048021601237</c:v>
                </c:pt>
                <c:pt idx="11">
                  <c:v>231.8520164870024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53-414A-8B05-B58BC0B132CA}"/>
            </c:ext>
          </c:extLst>
        </c:ser>
        <c:ser>
          <c:idx val="2"/>
          <c:order val="2"/>
          <c:tx>
            <c:strRef>
              <c:f>各パラメータごとの形状!$G$30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各パラメータごとの形状!$D$31:$D$42</c:f>
              <c:numCache>
                <c:formatCode>General</c:formatCode>
                <c:ptCount val="12"/>
                <c:pt idx="0">
                  <c:v>0</c:v>
                </c:pt>
                <c:pt idx="1">
                  <c:v>8.333333333333337E-2</c:v>
                </c:pt>
                <c:pt idx="2">
                  <c:v>0.16666666666666674</c:v>
                </c:pt>
                <c:pt idx="3">
                  <c:v>0.25000000000000011</c:v>
                </c:pt>
                <c:pt idx="4">
                  <c:v>0.33333333333333348</c:v>
                </c:pt>
                <c:pt idx="5">
                  <c:v>0.41666666666666685</c:v>
                </c:pt>
                <c:pt idx="6">
                  <c:v>0.50000000000000022</c:v>
                </c:pt>
                <c:pt idx="7">
                  <c:v>0.58333333333333348</c:v>
                </c:pt>
                <c:pt idx="8">
                  <c:v>0.66666666666666674</c:v>
                </c:pt>
                <c:pt idx="9">
                  <c:v>0.75000000000000011</c:v>
                </c:pt>
                <c:pt idx="10">
                  <c:v>0.83333333333333348</c:v>
                </c:pt>
                <c:pt idx="11">
                  <c:v>0.91666666666666674</c:v>
                </c:pt>
              </c:numCache>
            </c:numRef>
          </c:xVal>
          <c:yVal>
            <c:numRef>
              <c:f>各パラメータごとの形状!$G$31:$G$42</c:f>
              <c:numCache>
                <c:formatCode>General</c:formatCode>
                <c:ptCount val="12"/>
                <c:pt idx="0">
                  <c:v>1.7969167745359584</c:v>
                </c:pt>
                <c:pt idx="1">
                  <c:v>1.0318514535373424</c:v>
                </c:pt>
                <c:pt idx="2">
                  <c:v>0.53686953014304351</c:v>
                </c:pt>
                <c:pt idx="3">
                  <c:v>0.24526764308682303</c:v>
                </c:pt>
                <c:pt idx="4">
                  <c:v>9.3892623568549993E-2</c:v>
                </c:pt>
                <c:pt idx="5">
                  <c:v>2.8002719617877148E-2</c:v>
                </c:pt>
                <c:pt idx="6">
                  <c:v>5.7682264197584932E-3</c:v>
                </c:pt>
                <c:pt idx="7">
                  <c:v>6.6190436855935453E-4</c:v>
                </c:pt>
                <c:pt idx="8">
                  <c:v>2.7626166313281068E-5</c:v>
                </c:pt>
                <c:pt idx="9">
                  <c:v>1.5645564031990415E-7</c:v>
                </c:pt>
                <c:pt idx="10">
                  <c:v>6.411454080854843E-12</c:v>
                </c:pt>
                <c:pt idx="11">
                  <c:v>9.471722261423816E-25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53-414A-8B05-B58BC0B13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74079"/>
        <c:axId val="81478399"/>
      </c:scatterChart>
      <c:valAx>
        <c:axId val="81474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78399"/>
        <c:crosses val="autoZero"/>
        <c:crossBetween val="midCat"/>
      </c:valAx>
      <c:valAx>
        <c:axId val="8147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74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TimeOfExpiration ( T=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各パラメータごとの形状!$M$30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各パラメータごとの形状!$L$31:$L$40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各パラメータごとの形状!$M$31:$M$40</c:f>
              <c:numCache>
                <c:formatCode>General</c:formatCode>
                <c:ptCount val="10"/>
                <c:pt idx="0">
                  <c:v>11378.073023991787</c:v>
                </c:pt>
                <c:pt idx="1">
                  <c:v>10799.553196709076</c:v>
                </c:pt>
                <c:pt idx="2">
                  <c:v>10208.692020670176</c:v>
                </c:pt>
                <c:pt idx="3">
                  <c:v>9605.0282621253937</c:v>
                </c:pt>
                <c:pt idx="4">
                  <c:v>8988.0489223988079</c:v>
                </c:pt>
                <c:pt idx="5">
                  <c:v>8357.2061692003517</c:v>
                </c:pt>
                <c:pt idx="6">
                  <c:v>7711.9883041287867</c:v>
                </c:pt>
                <c:pt idx="7">
                  <c:v>7052.1465111699072</c:v>
                </c:pt>
                <c:pt idx="8">
                  <c:v>6378.3528326352243</c:v>
                </c:pt>
                <c:pt idx="9">
                  <c:v>5693.5966190913314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96-4600-8707-D0219B5885E5}"/>
            </c:ext>
          </c:extLst>
        </c:ser>
        <c:ser>
          <c:idx val="1"/>
          <c:order val="1"/>
          <c:tx>
            <c:strRef>
              <c:f>各パラメータごとの形状!$N$30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各パラメータごとの形状!$L$31:$L$40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各パラメータごとの形状!$N$31:$N$40</c:f>
              <c:numCache>
                <c:formatCode>General</c:formatCode>
                <c:ptCount val="10"/>
                <c:pt idx="0">
                  <c:v>6589.4176897578145</c:v>
                </c:pt>
                <c:pt idx="1">
                  <c:v>6034.2203763706893</c:v>
                </c:pt>
                <c:pt idx="2">
                  <c:v>5469.0547176294349</c:v>
                </c:pt>
                <c:pt idx="3">
                  <c:v>4893.493361683737</c:v>
                </c:pt>
                <c:pt idx="4">
                  <c:v>4306.8554443619578</c:v>
                </c:pt>
                <c:pt idx="5">
                  <c:v>3707.99514676943</c:v>
                </c:pt>
                <c:pt idx="6">
                  <c:v>3094.8583402829099</c:v>
                </c:pt>
                <c:pt idx="7">
                  <c:v>2463.4311421330349</c:v>
                </c:pt>
                <c:pt idx="8">
                  <c:v>1804.7131598864435</c:v>
                </c:pt>
                <c:pt idx="9">
                  <c:v>1092.2420112201835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76-4301-936D-D126460859EA}"/>
            </c:ext>
          </c:extLst>
        </c:ser>
        <c:ser>
          <c:idx val="2"/>
          <c:order val="2"/>
          <c:tx>
            <c:strRef>
              <c:f>各パラメータごとの形状!$O$30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各パラメータごとの形状!$L$31:$L$40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各パラメータごとの形状!$O$31:$O$40</c:f>
              <c:numCache>
                <c:formatCode>General</c:formatCode>
                <c:ptCount val="10"/>
                <c:pt idx="0">
                  <c:v>2597.2134285659195</c:v>
                </c:pt>
                <c:pt idx="1">
                  <c:v>2179.6220685499775</c:v>
                </c:pt>
                <c:pt idx="2">
                  <c:v>1775.1511234338031</c:v>
                </c:pt>
                <c:pt idx="3">
                  <c:v>1388.6975880403588</c:v>
                </c:pt>
                <c:pt idx="4">
                  <c:v>1026.7162386467699</c:v>
                </c:pt>
                <c:pt idx="5">
                  <c:v>697.88826796136709</c:v>
                </c:pt>
                <c:pt idx="6">
                  <c:v>414.09205778675914</c:v>
                </c:pt>
                <c:pt idx="7">
                  <c:v>191.54834045942425</c:v>
                </c:pt>
                <c:pt idx="8">
                  <c:v>50.437420536761692</c:v>
                </c:pt>
                <c:pt idx="9">
                  <c:v>1.7969167745359584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76-4301-936D-D1264608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2799"/>
        <c:axId val="81493279"/>
      </c:scatterChart>
      <c:valAx>
        <c:axId val="81492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3279"/>
        <c:crosses val="autoZero"/>
        <c:crossBetween val="midCat"/>
      </c:valAx>
      <c:valAx>
        <c:axId val="8149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2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Strike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各パラメータごとの形状!$D$45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各パラメータごとの形状!$C$46:$C$61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各パラメータごとの形状!$D$46:$D$61</c:f>
              <c:numCache>
                <c:formatCode>General</c:formatCode>
                <c:ptCount val="16"/>
                <c:pt idx="0">
                  <c:v>10594.03980089787</c:v>
                </c:pt>
                <c:pt idx="1">
                  <c:v>9613.8411332346695</c:v>
                </c:pt>
                <c:pt idx="2">
                  <c:v>8633.6426499025984</c:v>
                </c:pt>
                <c:pt idx="3">
                  <c:v>7653.4479521356843</c:v>
                </c:pt>
                <c:pt idx="4">
                  <c:v>6673.3031930821089</c:v>
                </c:pt>
                <c:pt idx="5">
                  <c:v>5693.5966190913314</c:v>
                </c:pt>
                <c:pt idx="6">
                  <c:v>4716.5282939113313</c:v>
                </c:pt>
                <c:pt idx="7">
                  <c:v>3750.668514853598</c:v>
                </c:pt>
                <c:pt idx="8">
                  <c:v>2819.2678036336583</c:v>
                </c:pt>
                <c:pt idx="9">
                  <c:v>1966.2996827269017</c:v>
                </c:pt>
                <c:pt idx="10">
                  <c:v>1248.2765842516346</c:v>
                </c:pt>
                <c:pt idx="11">
                  <c:v>709.12349305404132</c:v>
                </c:pt>
                <c:pt idx="12">
                  <c:v>355.84092170134863</c:v>
                </c:pt>
                <c:pt idx="13">
                  <c:v>156.42510916581341</c:v>
                </c:pt>
                <c:pt idx="14">
                  <c:v>59.993655310500344</c:v>
                </c:pt>
                <c:pt idx="15">
                  <c:v>20.060732755087884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4A-4CBC-8B70-FEB554F38C94}"/>
            </c:ext>
          </c:extLst>
        </c:ser>
        <c:ser>
          <c:idx val="1"/>
          <c:order val="1"/>
          <c:tx>
            <c:strRef>
              <c:f>各パラメータごとの形状!$E$45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各パラメータごとの形状!$C$46:$C$61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各パラメータごとの形状!$E$46:$E$61</c:f>
              <c:numCache>
                <c:formatCode>General</c:formatCode>
                <c:ptCount val="16"/>
                <c:pt idx="0">
                  <c:v>5594.1401245477282</c:v>
                </c:pt>
                <c:pt idx="1">
                  <c:v>4614.9731022271662</c:v>
                </c:pt>
                <c:pt idx="2">
                  <c:v>3641.9169765152292</c:v>
                </c:pt>
                <c:pt idx="3">
                  <c:v>2694.7243179890902</c:v>
                </c:pt>
                <c:pt idx="4">
                  <c:v>1821.0615848704147</c:v>
                </c:pt>
                <c:pt idx="5">
                  <c:v>1092.2420112201835</c:v>
                </c:pt>
                <c:pt idx="6">
                  <c:v>566.70040393741328</c:v>
                </c:pt>
                <c:pt idx="7">
                  <c:v>249.60481870270451</c:v>
                </c:pt>
                <c:pt idx="8">
                  <c:v>92.309129487759947</c:v>
                </c:pt>
                <c:pt idx="9">
                  <c:v>28.544038254534598</c:v>
                </c:pt>
                <c:pt idx="10">
                  <c:v>7.3867388905895268</c:v>
                </c:pt>
                <c:pt idx="11">
                  <c:v>1.6066524282412757</c:v>
                </c:pt>
                <c:pt idx="12">
                  <c:v>0.29559911544217954</c:v>
                </c:pt>
                <c:pt idx="13">
                  <c:v>4.6354702251940161E-2</c:v>
                </c:pt>
                <c:pt idx="14">
                  <c:v>6.2465820514137071E-3</c:v>
                </c:pt>
                <c:pt idx="15">
                  <c:v>7.2941743350588006E-4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0A-4F4D-85AB-9B5309277D60}"/>
            </c:ext>
          </c:extLst>
        </c:ser>
        <c:ser>
          <c:idx val="2"/>
          <c:order val="2"/>
          <c:tx>
            <c:strRef>
              <c:f>各パラメータごとの形状!$F$45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各パラメータごとの形状!$C$46:$C$61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各パラメータごとの形状!$F$46:$F$61</c:f>
              <c:numCache>
                <c:formatCode>General</c:formatCode>
                <c:ptCount val="16"/>
                <c:pt idx="0">
                  <c:v>936.2074381887287</c:v>
                </c:pt>
                <c:pt idx="1">
                  <c:v>428.71308003307968</c:v>
                </c:pt>
                <c:pt idx="2">
                  <c:v>156.63222615981977</c:v>
                </c:pt>
                <c:pt idx="3">
                  <c:v>44.995241482875599</c:v>
                </c:pt>
                <c:pt idx="4">
                  <c:v>10.131982927300101</c:v>
                </c:pt>
                <c:pt idx="5">
                  <c:v>1.7969167745359584</c:v>
                </c:pt>
                <c:pt idx="6">
                  <c:v>0.25337067037901306</c:v>
                </c:pt>
                <c:pt idx="7">
                  <c:v>2.8743949873125896E-2</c:v>
                </c:pt>
                <c:pt idx="8">
                  <c:v>2.6579122484769457E-3</c:v>
                </c:pt>
                <c:pt idx="9">
                  <c:v>2.0299847416179601E-4</c:v>
                </c:pt>
                <c:pt idx="10">
                  <c:v>1.2973469300254798E-5</c:v>
                </c:pt>
                <c:pt idx="11">
                  <c:v>7.0253029414298301E-7</c:v>
                </c:pt>
                <c:pt idx="12">
                  <c:v>3.2619224619286726E-8</c:v>
                </c:pt>
                <c:pt idx="13">
                  <c:v>1.3131932594963439E-9</c:v>
                </c:pt>
                <c:pt idx="14">
                  <c:v>4.6319414080662245E-11</c:v>
                </c:pt>
                <c:pt idx="15">
                  <c:v>1.4454447383671727E-12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0A-4F4D-85AB-9B5309277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26256"/>
        <c:axId val="2040815696"/>
      </c:scatterChart>
      <c:valAx>
        <c:axId val="2040826256"/>
        <c:scaling>
          <c:orientation val="minMax"/>
          <c:min val="3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15696"/>
        <c:crosses val="autoZero"/>
        <c:crossBetween val="midCat"/>
      </c:valAx>
      <c:valAx>
        <c:axId val="204081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2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Stock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883652028928003"/>
          <c:y val="0.14537915496435297"/>
          <c:w val="0.8243922985853519"/>
          <c:h val="0.7640057405635628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各パラメータごとの形状!$K$45</c:f>
              <c:strCache>
                <c:ptCount val="1"/>
                <c:pt idx="0">
                  <c:v>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各パラメータごとの形状!$J$46:$J$61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各パラメータごとの形状!$K$46:$K$61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12.863969008238428</c:v>
                </c:pt>
                <c:pt idx="2">
                  <c:v>61.778632250228839</c:v>
                </c:pt>
                <c:pt idx="3">
                  <c:v>210.59012015102508</c:v>
                </c:pt>
                <c:pt idx="4">
                  <c:v>538.68841441545555</c:v>
                </c:pt>
                <c:pt idx="5">
                  <c:v>1092.2420112201835</c:v>
                </c:pt>
                <c:pt idx="6">
                  <c:v>1849.9012086552211</c:v>
                </c:pt>
                <c:pt idx="7">
                  <c:v>2743.9006305571565</c:v>
                </c:pt>
                <c:pt idx="8">
                  <c:v>3706.6278229875243</c:v>
                </c:pt>
                <c:pt idx="9">
                  <c:v>4696.0438992838535</c:v>
                </c:pt>
                <c:pt idx="10">
                  <c:v>5693.5966190913314</c:v>
                </c:pt>
                <c:pt idx="11">
                  <c:v>6693.131105983739</c:v>
                </c:pt>
                <c:pt idx="12">
                  <c:v>7693.0574590553733</c:v>
                </c:pt>
                <c:pt idx="13">
                  <c:v>8693.047660237884</c:v>
                </c:pt>
                <c:pt idx="14">
                  <c:v>9693.0465517922057</c:v>
                </c:pt>
                <c:pt idx="15">
                  <c:v>10693.046444065956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2D-4367-AF90-CDCB1299C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03071"/>
        <c:axId val="95427551"/>
      </c:scatterChart>
      <c:valAx>
        <c:axId val="95403071"/>
        <c:scaling>
          <c:orientation val="minMax"/>
          <c:min val="3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27551"/>
        <c:crosses val="autoZero"/>
        <c:crossBetween val="midCat"/>
      </c:valAx>
      <c:valAx>
        <c:axId val="9542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3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IV_Smile!$C$12</c:f>
              <c:strCache>
                <c:ptCount val="1"/>
                <c:pt idx="0">
                  <c:v>IV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IV_Smile!$B$13:$B$22</c:f>
              <c:numCache>
                <c:formatCode>General</c:formatCode>
                <c:ptCount val="10"/>
                <c:pt idx="0">
                  <c:v>36000</c:v>
                </c:pt>
                <c:pt idx="1">
                  <c:v>37000</c:v>
                </c:pt>
                <c:pt idx="2">
                  <c:v>38000</c:v>
                </c:pt>
                <c:pt idx="3">
                  <c:v>39000</c:v>
                </c:pt>
                <c:pt idx="4">
                  <c:v>40000</c:v>
                </c:pt>
                <c:pt idx="5">
                  <c:v>41000</c:v>
                </c:pt>
                <c:pt idx="6">
                  <c:v>42000</c:v>
                </c:pt>
                <c:pt idx="7">
                  <c:v>43000</c:v>
                </c:pt>
                <c:pt idx="8">
                  <c:v>44000</c:v>
                </c:pt>
                <c:pt idx="9">
                  <c:v>45000</c:v>
                </c:pt>
              </c:numCache>
            </c:numRef>
          </c:xVal>
          <c:yVal>
            <c:numRef>
              <c:f>IV_Smile!$C$13:$C$22</c:f>
              <c:numCache>
                <c:formatCode>General</c:formatCode>
                <c:ptCount val="10"/>
                <c:pt idx="0">
                  <c:v>0.18256649116878523</c:v>
                </c:pt>
                <c:pt idx="1">
                  <c:v>0.15953615528111881</c:v>
                </c:pt>
                <c:pt idx="2">
                  <c:v>0.13611519821471885</c:v>
                </c:pt>
                <c:pt idx="3">
                  <c:v>0.11189397119432924</c:v>
                </c:pt>
                <c:pt idx="4">
                  <c:v>0.1637789352224821</c:v>
                </c:pt>
                <c:pt idx="5">
                  <c:v>0.19368306163140778</c:v>
                </c:pt>
                <c:pt idx="6">
                  <c:v>0.21994413568435398</c:v>
                </c:pt>
                <c:pt idx="7">
                  <c:v>0.24368881901456924</c:v>
                </c:pt>
                <c:pt idx="8">
                  <c:v>0.26553277821066484</c:v>
                </c:pt>
                <c:pt idx="9">
                  <c:v>0.28586029270593372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2E-40E8-BE8E-7D7A2D0A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8812959"/>
        <c:axId val="1038815359"/>
      </c:scatterChart>
      <c:valAx>
        <c:axId val="1038812959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8815359"/>
        <c:crosses val="autoZero"/>
        <c:crossBetween val="midCat"/>
      </c:valAx>
      <c:valAx>
        <c:axId val="1038815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8812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DeltaCall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Greeks!$N$12:$N$112</c:f>
              <c:numCache>
                <c:formatCode>General</c:formatCode>
                <c:ptCount val="101"/>
                <c:pt idx="0">
                  <c:v>0.99969310963050373</c:v>
                </c:pt>
                <c:pt idx="1">
                  <c:v>0.99959985903670256</c:v>
                </c:pt>
                <c:pt idx="2">
                  <c:v>0.99948124224793777</c:v>
                </c:pt>
                <c:pt idx="3">
                  <c:v>0.99933125202061246</c:v>
                </c:pt>
                <c:pt idx="4">
                  <c:v>0.99914270353670498</c:v>
                </c:pt>
                <c:pt idx="5">
                  <c:v>0.99890706450566913</c:v>
                </c:pt>
                <c:pt idx="6">
                  <c:v>0.99861427458346919</c:v>
                </c:pt>
                <c:pt idx="7">
                  <c:v>0.99825255657242662</c:v>
                </c:pt>
                <c:pt idx="8">
                  <c:v>0.99780822266796687</c:v>
                </c:pt>
                <c:pt idx="9">
                  <c:v>0.99726547986653313</c:v>
                </c:pt>
                <c:pt idx="10">
                  <c:v>0.99660623951601568</c:v>
                </c:pt>
                <c:pt idx="11">
                  <c:v>0.9958099368430755</c:v>
                </c:pt>
                <c:pt idx="12">
                  <c:v>0.9948533670923233</c:v>
                </c:pt>
                <c:pt idx="13">
                  <c:v>0.99371054561763061</c:v>
                </c:pt>
                <c:pt idx="14">
                  <c:v>0.99235259983010493</c:v>
                </c:pt>
                <c:pt idx="15">
                  <c:v>0.99074770128358602</c:v>
                </c:pt>
                <c:pt idx="16">
                  <c:v>0.98886104632116756</c:v>
                </c:pt>
                <c:pt idx="17">
                  <c:v>0.98665489357308156</c:v>
                </c:pt>
                <c:pt idx="18">
                  <c:v>0.98408866615147439</c:v>
                </c:pt>
                <c:pt idx="19">
                  <c:v>0.98111912560422243</c:v>
                </c:pt>
                <c:pt idx="20">
                  <c:v>0.97770062355258724</c:v>
                </c:pt>
                <c:pt idx="21">
                  <c:v>0.97378543544448659</c:v>
                </c:pt>
                <c:pt idx="22">
                  <c:v>0.96932417902024148</c:v>
                </c:pt>
                <c:pt idx="23">
                  <c:v>0.96426631794122231</c:v>
                </c:pt>
                <c:pt idx="24">
                  <c:v>0.9585607486212756</c:v>
                </c:pt>
                <c:pt idx="25">
                  <c:v>0.95215646568997503</c:v>
                </c:pt>
                <c:pt idx="26">
                  <c:v>0.9450032987845941</c:v>
                </c:pt>
                <c:pt idx="27">
                  <c:v>0.93705271060593043</c:v>
                </c:pt>
                <c:pt idx="28">
                  <c:v>0.92825864348300147</c:v>
                </c:pt>
                <c:pt idx="29">
                  <c:v>0.91857839918007522</c:v>
                </c:pt>
                <c:pt idx="30">
                  <c:v>0.90797353445443574</c:v>
                </c:pt>
                <c:pt idx="31">
                  <c:v>0.8964107530389438</c:v>
                </c:pt>
                <c:pt idx="32">
                  <c:v>0.88386277337494878</c:v>
                </c:pt>
                <c:pt idx="33">
                  <c:v>0.8703091506400561</c:v>
                </c:pt>
                <c:pt idx="34">
                  <c:v>0.85573703146467384</c:v>
                </c:pt>
                <c:pt idx="35">
                  <c:v>0.84014182025230699</c:v>
                </c:pt>
                <c:pt idx="36">
                  <c:v>0.82352773722715633</c:v>
                </c:pt>
                <c:pt idx="37">
                  <c:v>0.80590825021796986</c:v>
                </c:pt>
                <c:pt idx="38">
                  <c:v>0.7873063647110714</c:v>
                </c:pt>
                <c:pt idx="39">
                  <c:v>0.76775475980316077</c:v>
                </c:pt>
                <c:pt idx="40">
                  <c:v>0.74729576126650288</c:v>
                </c:pt>
                <c:pt idx="41">
                  <c:v>0.72598114689474558</c:v>
                </c:pt>
                <c:pt idx="42">
                  <c:v>0.70387178349908675</c:v>
                </c:pt>
                <c:pt idx="43">
                  <c:v>0.68103709923261513</c:v>
                </c:pt>
                <c:pt idx="44">
                  <c:v>0.65755439918980352</c:v>
                </c:pt>
                <c:pt idx="45">
                  <c:v>0.63350803631352548</c:v>
                </c:pt>
                <c:pt idx="46">
                  <c:v>0.6089884534045642</c:v>
                </c:pt>
                <c:pt idx="47">
                  <c:v>0.58409111534199654</c:v>
                </c:pt>
                <c:pt idx="48">
                  <c:v>0.55891535337760334</c:v>
                </c:pt>
                <c:pt idx="49">
                  <c:v>0.53356314547626471</c:v>
                </c:pt>
                <c:pt idx="50">
                  <c:v>0.50813785807443868</c:v>
                </c:pt>
                <c:pt idx="51">
                  <c:v>0.48274297528507792</c:v>
                </c:pt>
                <c:pt idx="52">
                  <c:v>0.45748084148218232</c:v>
                </c:pt>
                <c:pt idx="53">
                  <c:v>0.43245144237186739</c:v>
                </c:pt>
                <c:pt idx="54">
                  <c:v>0.40775124814533431</c:v>
                </c:pt>
                <c:pt idx="55">
                  <c:v>0.38347214018175751</c:v>
                </c:pt>
                <c:pt idx="56">
                  <c:v>0.35970044011459257</c:v>
                </c:pt>
                <c:pt idx="57">
                  <c:v>0.33651605699726528</c:v>
                </c:pt>
                <c:pt idx="58">
                  <c:v>0.3139917649180618</c:v>
                </c:pt>
                <c:pt idx="59">
                  <c:v>0.29219261983920286</c:v>
                </c:pt>
                <c:pt idx="60">
                  <c:v>0.27117552079206236</c:v>
                </c:pt>
                <c:pt idx="61">
                  <c:v>0.25098891696544401</c:v>
                </c:pt>
                <c:pt idx="62">
                  <c:v>0.23167265878458179</c:v>
                </c:pt>
                <c:pt idx="63">
                  <c:v>0.21325798789092335</c:v>
                </c:pt>
                <c:pt idx="64">
                  <c:v>0.19576765807766264</c:v>
                </c:pt>
                <c:pt idx="65">
                  <c:v>0.17921617677755158</c:v>
                </c:pt>
                <c:pt idx="66">
                  <c:v>0.16361015468365714</c:v>
                </c:pt>
                <c:pt idx="67">
                  <c:v>0.14894874953815879</c:v>
                </c:pt>
                <c:pt idx="68">
                  <c:v>0.13522418905862385</c:v>
                </c:pt>
                <c:pt idx="69">
                  <c:v>0.12242235737841539</c:v>
                </c:pt>
                <c:pt idx="70">
                  <c:v>0.11052342923578644</c:v>
                </c:pt>
                <c:pt idx="71">
                  <c:v>9.9502536419754123E-2</c:v>
                </c:pt>
                <c:pt idx="72">
                  <c:v>8.93304516245646E-2</c:v>
                </c:pt>
                <c:pt idx="73">
                  <c:v>7.9974275825215005E-2</c:v>
                </c:pt>
                <c:pt idx="74">
                  <c:v>7.1398116505848042E-2</c:v>
                </c:pt>
                <c:pt idx="75">
                  <c:v>6.356374549010281E-2</c:v>
                </c:pt>
                <c:pt idx="76">
                  <c:v>5.6431226676988355E-2</c:v>
                </c:pt>
                <c:pt idx="77">
                  <c:v>4.9959505618906823E-2</c:v>
                </c:pt>
                <c:pt idx="78">
                  <c:v>4.4106954535469957E-2</c:v>
                </c:pt>
                <c:pt idx="79">
                  <c:v>3.8831867988522333E-2</c:v>
                </c:pt>
                <c:pt idx="80">
                  <c:v>3.4092906007625094E-2</c:v>
                </c:pt>
                <c:pt idx="81">
                  <c:v>2.9849482915702247E-2</c:v>
                </c:pt>
                <c:pt idx="82">
                  <c:v>2.6062101433679586E-2</c:v>
                </c:pt>
                <c:pt idx="83">
                  <c:v>2.2692632820396973E-2</c:v>
                </c:pt>
                <c:pt idx="84">
                  <c:v>1.9704544816767589E-2</c:v>
                </c:pt>
                <c:pt idx="85">
                  <c:v>1.7063080004749095E-2</c:v>
                </c:pt>
                <c:pt idx="86">
                  <c:v>1.4735387861944328E-2</c:v>
                </c:pt>
                <c:pt idx="87">
                  <c:v>1.2690614296509589E-2</c:v>
                </c:pt>
                <c:pt idx="88">
                  <c:v>1.0899952793853184E-2</c:v>
                </c:pt>
                <c:pt idx="89">
                  <c:v>9.3366615090448822E-3</c:v>
                </c:pt>
                <c:pt idx="90">
                  <c:v>7.9760507121437816E-3</c:v>
                </c:pt>
                <c:pt idx="91">
                  <c:v>6.7954449545921522E-3</c:v>
                </c:pt>
                <c:pt idx="92">
                  <c:v>5.7741241910377822E-3</c:v>
                </c:pt>
                <c:pt idx="93">
                  <c:v>4.8932478801918576E-3</c:v>
                </c:pt>
                <c:pt idx="94">
                  <c:v>4.1357658178456744E-3</c:v>
                </c:pt>
                <c:pt idx="95">
                  <c:v>3.4863191412610973E-3</c:v>
                </c:pt>
                <c:pt idx="96">
                  <c:v>2.9311346017627921E-3</c:v>
                </c:pt>
                <c:pt idx="97">
                  <c:v>2.4579148448534149E-3</c:v>
                </c:pt>
                <c:pt idx="98">
                  <c:v>2.0557270761418674E-3</c:v>
                </c:pt>
                <c:pt idx="99">
                  <c:v>1.7148921365755145E-3</c:v>
                </c:pt>
                <c:pt idx="100">
                  <c:v>1.4268756698391273E-3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2D-46B0-A2DB-EAB9CAF56B19}"/>
            </c:ext>
          </c:extLst>
        </c:ser>
        <c:ser>
          <c:idx val="1"/>
          <c:order val="1"/>
          <c:tx>
            <c:v>ITM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Greeks!$M$12:$M$112</c:f>
              <c:numCache>
                <c:formatCode>General</c:formatCode>
                <c:ptCount val="101"/>
                <c:pt idx="0">
                  <c:v>0.99999849106393601</c:v>
                </c:pt>
                <c:pt idx="1">
                  <c:v>0.99999785533247632</c:v>
                </c:pt>
                <c:pt idx="2">
                  <c:v>0.99999697021616252</c:v>
                </c:pt>
                <c:pt idx="3">
                  <c:v>0.99999574549281389</c:v>
                </c:pt>
                <c:pt idx="4">
                  <c:v>0.99999406123595869</c:v>
                </c:pt>
                <c:pt idx="5">
                  <c:v>0.99999175909045823</c:v>
                </c:pt>
                <c:pt idx="6">
                  <c:v>0.9999886313366646</c:v>
                </c:pt>
                <c:pt idx="7">
                  <c:v>0.99998440728997118</c:v>
                </c:pt>
                <c:pt idx="8">
                  <c:v>0.99997873652010216</c:v>
                </c:pt>
                <c:pt idx="9">
                  <c:v>0.99997116831154609</c:v>
                </c:pt>
                <c:pt idx="10">
                  <c:v>0.99996112672577109</c:v>
                </c:pt>
                <c:pt idx="11">
                  <c:v>0.9999478805705504</c:v>
                </c:pt>
                <c:pt idx="12">
                  <c:v>0.9999305075358661</c:v>
                </c:pt>
                <c:pt idx="13">
                  <c:v>0.99990785172413676</c:v>
                </c:pt>
                <c:pt idx="14">
                  <c:v>0.99987847379025974</c:v>
                </c:pt>
                <c:pt idx="15">
                  <c:v>0.99984059292005534</c:v>
                </c:pt>
                <c:pt idx="16">
                  <c:v>0.99979201992038047</c:v>
                </c:pt>
                <c:pt idx="17">
                  <c:v>0.99973008077686087</c:v>
                </c:pt>
                <c:pt idx="18">
                  <c:v>0.99965153016211594</c:v>
                </c:pt>
                <c:pt idx="19">
                  <c:v>0.99955245455428754</c:v>
                </c:pt>
                <c:pt idx="20">
                  <c:v>0.99942816485748853</c:v>
                </c:pt>
                <c:pt idx="21">
                  <c:v>0.99927307870594639</c:v>
                </c:pt>
                <c:pt idx="22">
                  <c:v>0.99908059298380536</c:v>
                </c:pt>
                <c:pt idx="23">
                  <c:v>0.99884294750209057</c:v>
                </c:pt>
                <c:pt idx="24">
                  <c:v>0.99855108123981484</c:v>
                </c:pt>
                <c:pt idx="25">
                  <c:v>0.99819448307099323</c:v>
                </c:pt>
                <c:pt idx="26">
                  <c:v>0.99776103945337236</c:v>
                </c:pt>
                <c:pt idx="27">
                  <c:v>0.99723688213420425</c:v>
                </c:pt>
                <c:pt idx="28">
                  <c:v>0.99660623951601568</c:v>
                </c:pt>
                <c:pt idx="29">
                  <c:v>0.99585129590011201</c:v>
                </c:pt>
                <c:pt idx="30">
                  <c:v>0.99495206336347297</c:v>
                </c:pt>
                <c:pt idx="31">
                  <c:v>0.99388627149922193</c:v>
                </c:pt>
                <c:pt idx="32">
                  <c:v>0.99262928063374523</c:v>
                </c:pt>
                <c:pt idx="33">
                  <c:v>0.99115402439599209</c:v>
                </c:pt>
                <c:pt idx="34">
                  <c:v>0.98943098762827508</c:v>
                </c:pt>
                <c:pt idx="35">
                  <c:v>0.9874282255668162</c:v>
                </c:pt>
                <c:pt idx="36">
                  <c:v>0.98511142996161816</c:v>
                </c:pt>
                <c:pt idx="37">
                  <c:v>0.98244404733123325</c:v>
                </c:pt>
                <c:pt idx="38">
                  <c:v>0.97938745384733417</c:v>
                </c:pt>
                <c:pt idx="39">
                  <c:v>0.97590119041301704</c:v>
                </c:pt>
                <c:pt idx="40">
                  <c:v>0.97194326034267831</c:v>
                </c:pt>
                <c:pt idx="41">
                  <c:v>0.96747049068478141</c:v>
                </c:pt>
                <c:pt idx="42">
                  <c:v>0.96243895667649593</c:v>
                </c:pt>
                <c:pt idx="43">
                  <c:v>0.95680446711554668</c:v>
                </c:pt>
                <c:pt idx="44">
                  <c:v>0.95052310662341943</c:v>
                </c:pt>
                <c:pt idx="45">
                  <c:v>0.94355182890748157</c:v>
                </c:pt>
                <c:pt idx="46">
                  <c:v>0.93584909326641508</c:v>
                </c:pt>
                <c:pt idx="47">
                  <c:v>0.92737553478736234</c:v>
                </c:pt>
                <c:pt idx="48">
                  <c:v>0.91809465702059911</c:v>
                </c:pt>
                <c:pt idx="49">
                  <c:v>0.90797353445443574</c:v>
                </c:pt>
                <c:pt idx="50">
                  <c:v>0.89698351091271</c:v>
                </c:pt>
                <c:pt idx="51">
                  <c:v>0.88510087911724811</c:v>
                </c:pt>
                <c:pt idx="52">
                  <c:v>0.87230752614712781</c:v>
                </c:pt>
                <c:pt idx="53">
                  <c:v>0.85859152942382133</c:v>
                </c:pt>
                <c:pt idx="54">
                  <c:v>0.84394768818152721</c:v>
                </c:pt>
                <c:pt idx="55">
                  <c:v>0.82837797615595021</c:v>
                </c:pt>
                <c:pt idx="56">
                  <c:v>0.81189190243726572</c:v>
                </c:pt>
                <c:pt idx="57">
                  <c:v>0.79450676906314333</c:v>
                </c:pt>
                <c:pt idx="58">
                  <c:v>0.77624781593854753</c:v>
                </c:pt>
                <c:pt idx="59">
                  <c:v>0.75714824600908437</c:v>
                </c:pt>
                <c:pt idx="60">
                  <c:v>0.73724912621935901</c:v>
                </c:pt>
                <c:pt idx="61">
                  <c:v>0.71659916258186218</c:v>
                </c:pt>
                <c:pt idx="62">
                  <c:v>0.69525435058167795</c:v>
                </c:pt>
                <c:pt idx="63">
                  <c:v>0.67327750505993689</c:v>
                </c:pt>
                <c:pt idx="64">
                  <c:v>0.65073767656425296</c:v>
                </c:pt>
                <c:pt idx="65">
                  <c:v>0.62770946383988246</c:v>
                </c:pt>
                <c:pt idx="66">
                  <c:v>0.60427223457828405</c:v>
                </c:pt>
                <c:pt idx="67">
                  <c:v>0.58050926866600705</c:v>
                </c:pt>
                <c:pt idx="68">
                  <c:v>0.55650683992360062</c:v>
                </c:pt>
                <c:pt idx="69">
                  <c:v>0.53235325364160879</c:v>
                </c:pt>
                <c:pt idx="70">
                  <c:v>0.50813785807443868</c:v>
                </c:pt>
                <c:pt idx="71">
                  <c:v>0.48395004842432904</c:v>
                </c:pt>
                <c:pt idx="72">
                  <c:v>0.45987828173476786</c:v>
                </c:pt>
                <c:pt idx="73">
                  <c:v>0.43600912052948482</c:v>
                </c:pt>
                <c:pt idx="74">
                  <c:v>0.41242632200866147</c:v>
                </c:pt>
                <c:pt idx="75">
                  <c:v>0.38920998819083419</c:v>
                </c:pt>
                <c:pt idx="76">
                  <c:v>0.36643579062119569</c:v>
                </c:pt>
                <c:pt idx="77">
                  <c:v>0.34417428121791943</c:v>
                </c:pt>
                <c:pt idx="78">
                  <c:v>0.32249029856730527</c:v>
                </c:pt>
                <c:pt idx="79">
                  <c:v>0.30144247657941392</c:v>
                </c:pt>
                <c:pt idx="80">
                  <c:v>0.28108285995259846</c:v>
                </c:pt>
                <c:pt idx="81">
                  <c:v>0.26145662844046835</c:v>
                </c:pt>
                <c:pt idx="82">
                  <c:v>0.24260192953655368</c:v>
                </c:pt>
                <c:pt idx="83">
                  <c:v>0.22454981695231999</c:v>
                </c:pt>
                <c:pt idx="84">
                  <c:v>0.20732429021685977</c:v>
                </c:pt>
                <c:pt idx="85">
                  <c:v>0.1909424289162025</c:v>
                </c:pt>
                <c:pt idx="86">
                  <c:v>0.17541461355068502</c:v>
                </c:pt>
                <c:pt idx="87">
                  <c:v>0.16074482374371346</c:v>
                </c:pt>
                <c:pt idx="88">
                  <c:v>0.14693100359718078</c:v>
                </c:pt>
                <c:pt idx="89">
                  <c:v>0.13396548336020436</c:v>
                </c:pt>
                <c:pt idx="90">
                  <c:v>0.12183544625147141</c:v>
                </c:pt>
                <c:pt idx="91">
                  <c:v>0.11052342923578644</c:v>
                </c:pt>
                <c:pt idx="92">
                  <c:v>0.10000784677932506</c:v>
                </c:pt>
                <c:pt idx="93">
                  <c:v>9.0263527066994004E-2</c:v>
                </c:pt>
                <c:pt idx="94">
                  <c:v>8.1262250825998805E-2</c:v>
                </c:pt>
                <c:pt idx="95">
                  <c:v>7.297328372628456E-2</c:v>
                </c:pt>
                <c:pt idx="96">
                  <c:v>6.5363894283631749E-2</c:v>
                </c:pt>
                <c:pt idx="97">
                  <c:v>5.8399850237454268E-2</c:v>
                </c:pt>
                <c:pt idx="98">
                  <c:v>5.2045887476578886E-2</c:v>
                </c:pt>
                <c:pt idx="99">
                  <c:v>4.6266146708465405E-2</c:v>
                </c:pt>
                <c:pt idx="100">
                  <c:v>4.1024574179587048E-2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2D-46B0-A2DB-EAB9CAF56B19}"/>
            </c:ext>
          </c:extLst>
        </c:ser>
        <c:ser>
          <c:idx val="2"/>
          <c:order val="2"/>
          <c:tx>
            <c:v>OTM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Greeks!$O$12:$O$112</c:f>
              <c:numCache>
                <c:formatCode>General</c:formatCode>
                <c:ptCount val="101"/>
                <c:pt idx="0">
                  <c:v>0.98289007441152565</c:v>
                </c:pt>
                <c:pt idx="1">
                  <c:v>0.97955867813744102</c:v>
                </c:pt>
                <c:pt idx="2">
                  <c:v>0.97570501064608428</c:v>
                </c:pt>
                <c:pt idx="3">
                  <c:v>0.97127238166168572</c:v>
                </c:pt>
                <c:pt idx="4">
                  <c:v>0.96620238003058678</c:v>
                </c:pt>
                <c:pt idx="5">
                  <c:v>0.96043558443773258</c:v>
                </c:pt>
                <c:pt idx="6">
                  <c:v>0.95391238405704393</c:v>
                </c:pt>
                <c:pt idx="7">
                  <c:v>0.94657390023181032</c:v>
                </c:pt>
                <c:pt idx="8">
                  <c:v>0.9383629961230342</c:v>
                </c:pt>
                <c:pt idx="9">
                  <c:v>0.92922535716322985</c:v>
                </c:pt>
                <c:pt idx="10">
                  <c:v>0.91911062128664578</c:v>
                </c:pt>
                <c:pt idx="11">
                  <c:v>0.90797353445443574</c:v>
                </c:pt>
                <c:pt idx="12">
                  <c:v>0.89577510413062611</c:v>
                </c:pt>
                <c:pt idx="13">
                  <c:v>0.88248372125334384</c:v>
                </c:pt>
                <c:pt idx="14">
                  <c:v>0.86807622002428075</c:v>
                </c:pt>
                <c:pt idx="15">
                  <c:v>0.85253884461464824</c:v>
                </c:pt>
                <c:pt idx="16">
                  <c:v>0.8358680927263652</c:v>
                </c:pt>
                <c:pt idx="17">
                  <c:v>0.81807140787707477</c:v>
                </c:pt>
                <c:pt idx="18">
                  <c:v>0.7991676952741249</c:v>
                </c:pt>
                <c:pt idx="19">
                  <c:v>0.77918764013471131</c:v>
                </c:pt>
                <c:pt idx="20">
                  <c:v>0.75817381218010405</c:v>
                </c:pt>
                <c:pt idx="21">
                  <c:v>0.73618054562205726</c:v>
                </c:pt>
                <c:pt idx="22">
                  <c:v>0.71327359007474489</c:v>
                </c:pt>
                <c:pt idx="23">
                  <c:v>0.68952953424494223</c:v>
                </c:pt>
                <c:pt idx="24">
                  <c:v>0.66503501073859228</c:v>
                </c:pt>
                <c:pt idx="25">
                  <c:v>0.63988569663037254</c:v>
                </c:pt>
                <c:pt idx="26">
                  <c:v>0.6141851303365049</c:v>
                </c:pt>
                <c:pt idx="27">
                  <c:v>0.58804337058931588</c:v>
                </c:pt>
                <c:pt idx="28">
                  <c:v>0.56157552774113584</c:v>
                </c:pt>
                <c:pt idx="29">
                  <c:v>0.53490020106697611</c:v>
                </c:pt>
                <c:pt idx="30">
                  <c:v>0.50813785807443868</c:v>
                </c:pt>
                <c:pt idx="31">
                  <c:v>0.48140919299666057</c:v>
                </c:pt>
                <c:pt idx="32">
                  <c:v>0.45483350162021902</c:v>
                </c:pt>
                <c:pt idx="33">
                  <c:v>0.42852710841332486</c:v>
                </c:pt>
                <c:pt idx="34">
                  <c:v>0.40260187964514327</c:v>
                </c:pt>
                <c:pt idx="35">
                  <c:v>0.37716385293984833</c:v>
                </c:pt>
                <c:pt idx="36">
                  <c:v>0.35231200963875148</c:v>
                </c:pt>
                <c:pt idx="37">
                  <c:v>0.32813721162593523</c:v>
                </c:pt>
                <c:pt idx="38">
                  <c:v>0.30472131910033018</c:v>
                </c:pt>
                <c:pt idx="39">
                  <c:v>0.2821365003507047</c:v>
                </c:pt>
                <c:pt idx="40">
                  <c:v>0.26044473910930954</c:v>
                </c:pt>
                <c:pt idx="41">
                  <c:v>0.23969753971513069</c:v>
                </c:pt>
                <c:pt idx="42">
                  <c:v>0.21993582528175906</c:v>
                </c:pt>
                <c:pt idx="43">
                  <c:v>0.20119001948778592</c:v>
                </c:pt>
                <c:pt idx="44">
                  <c:v>0.1834802986113454</c:v>
                </c:pt>
                <c:pt idx="45">
                  <c:v>0.16681699710619213</c:v>
                </c:pt>
                <c:pt idx="46">
                  <c:v>0.15120114742359994</c:v>
                </c:pt>
                <c:pt idx="47">
                  <c:v>0.13662513294950918</c:v>
                </c:pt>
                <c:pt idx="48">
                  <c:v>0.12307343184659962</c:v>
                </c:pt>
                <c:pt idx="49">
                  <c:v>0.11052342923578644</c:v>
                </c:pt>
                <c:pt idx="50">
                  <c:v>9.8946275466816669E-2</c:v>
                </c:pt>
                <c:pt idx="51">
                  <c:v>8.8307769139950268E-2</c:v>
                </c:pt>
                <c:pt idx="52">
                  <c:v>7.8569244962599941E-2</c:v>
                </c:pt>
                <c:pt idx="53">
                  <c:v>6.9688448359442504E-2</c:v>
                </c:pt>
                <c:pt idx="54">
                  <c:v>6.162038090068217E-2</c:v>
                </c:pt>
                <c:pt idx="55">
                  <c:v>5.4318102969654225E-2</c:v>
                </c:pt>
                <c:pt idx="56">
                  <c:v>4.7733482560587209E-2</c:v>
                </c:pt>
                <c:pt idx="57">
                  <c:v>4.1817881590273227E-2</c:v>
                </c:pt>
                <c:pt idx="58">
                  <c:v>3.6522773543666974E-2</c:v>
                </c:pt>
                <c:pt idx="59">
                  <c:v>3.1800288584901228E-2</c:v>
                </c:pt>
                <c:pt idx="60">
                  <c:v>2.7603684396600572E-2</c:v>
                </c:pt>
                <c:pt idx="61">
                  <c:v>2.3887742919706977E-2</c:v>
                </c:pt>
                <c:pt idx="62">
                  <c:v>2.060909482450976E-2</c:v>
                </c:pt>
                <c:pt idx="63">
                  <c:v>1.7726474934707727E-2</c:v>
                </c:pt>
                <c:pt idx="64">
                  <c:v>1.5200912945058279E-2</c:v>
                </c:pt>
                <c:pt idx="65">
                  <c:v>1.2995864624166374E-2</c:v>
                </c:pt>
                <c:pt idx="66">
                  <c:v>1.1077289290263232E-2</c:v>
                </c:pt>
                <c:pt idx="67">
                  <c:v>9.4136797089444321E-3</c:v>
                </c:pt>
                <c:pt idx="68">
                  <c:v>7.9760507121437816E-3</c:v>
                </c:pt>
                <c:pt idx="69">
                  <c:v>6.7378928046874613E-3</c:v>
                </c:pt>
                <c:pt idx="70">
                  <c:v>5.6750968378512338E-3</c:v>
                </c:pt>
                <c:pt idx="71">
                  <c:v>4.7658555180461791E-3</c:v>
                </c:pt>
                <c:pt idx="72">
                  <c:v>3.9905471119391018E-3</c:v>
                </c:pt>
                <c:pt idx="73">
                  <c:v>3.331606234150171E-3</c:v>
                </c:pt>
                <c:pt idx="74">
                  <c:v>2.7733860849925044E-3</c:v>
                </c:pt>
                <c:pt idx="75">
                  <c:v>2.3020159655176148E-3</c:v>
                </c:pt>
                <c:pt idx="76">
                  <c:v>1.9052573542900067E-3</c:v>
                </c:pt>
                <c:pt idx="77">
                  <c:v>1.5723613004899001E-3</c:v>
                </c:pt>
                <c:pt idx="78">
                  <c:v>1.2939293835997033E-3</c:v>
                </c:pt>
                <c:pt idx="79">
                  <c:v>1.0617800204868195E-3</c:v>
                </c:pt>
                <c:pt idx="80">
                  <c:v>8.6882147276518636E-4</c:v>
                </c:pt>
                <c:pt idx="81">
                  <c:v>7.0893252500414433E-4</c:v>
                </c:pt>
                <c:pt idx="82">
                  <c:v>5.7685146958465759E-4</c:v>
                </c:pt>
                <c:pt idx="83">
                  <c:v>4.6807374688668748E-4</c:v>
                </c:pt>
                <c:pt idx="84">
                  <c:v>3.7875834866456335E-4</c:v>
                </c:pt>
                <c:pt idx="85">
                  <c:v>3.0564289542983457E-4</c:v>
                </c:pt>
                <c:pt idx="86">
                  <c:v>2.4596714208994933E-4</c:v>
                </c:pt>
                <c:pt idx="87">
                  <c:v>1.9740454611374308E-4</c:v>
                </c:pt>
                <c:pt idx="88">
                  <c:v>1.5800144493225969E-4</c:v>
                </c:pt>
                <c:pt idx="89">
                  <c:v>1.2612332985073756E-4</c:v>
                </c:pt>
                <c:pt idx="90">
                  <c:v>1.0040766821620024E-4</c:v>
                </c:pt>
                <c:pt idx="91">
                  <c:v>7.9722709910561034E-5</c:v>
                </c:pt>
                <c:pt idx="92">
                  <c:v>6.3131714652088988E-5</c:v>
                </c:pt>
                <c:pt idx="93">
                  <c:v>4.9862049658156342E-5</c:v>
                </c:pt>
                <c:pt idx="94">
                  <c:v>3.9278629893799018E-5</c:v>
                </c:pt>
                <c:pt idx="95">
                  <c:v>3.0861202739346458E-5</c:v>
                </c:pt>
                <c:pt idx="96">
                  <c:v>2.4185013180465213E-5</c:v>
                </c:pt>
                <c:pt idx="97">
                  <c:v>1.8904422653759478E-5</c:v>
                </c:pt>
                <c:pt idx="98">
                  <c:v>1.4739092918404108E-5</c:v>
                </c:pt>
                <c:pt idx="99">
                  <c:v>1.1462384535252693E-5</c:v>
                </c:pt>
                <c:pt idx="100">
                  <c:v>8.891656769266032E-6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2D-46B0-A2DB-EAB9CAF56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DeltraPut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Greeks!$P$12:$P$112</c:f>
              <c:numCache>
                <c:formatCode>General</c:formatCode>
                <c:ptCount val="101"/>
                <c:pt idx="0">
                  <c:v>-1.5089360639874982E-6</c:v>
                </c:pt>
                <c:pt idx="1">
                  <c:v>-2.1446675236846957E-6</c:v>
                </c:pt>
                <c:pt idx="2">
                  <c:v>-3.0297838374826469E-6</c:v>
                </c:pt>
                <c:pt idx="3">
                  <c:v>-4.2545071861077588E-6</c:v>
                </c:pt>
                <c:pt idx="4">
                  <c:v>-5.9387640413133269E-6</c:v>
                </c:pt>
                <c:pt idx="5">
                  <c:v>-8.2409095417679268E-6</c:v>
                </c:pt>
                <c:pt idx="6">
                  <c:v>-1.136866333539821E-5</c:v>
                </c:pt>
                <c:pt idx="7">
                  <c:v>-1.5592710028822232E-5</c:v>
                </c:pt>
                <c:pt idx="8">
                  <c:v>-2.1263479897837279E-5</c:v>
                </c:pt>
                <c:pt idx="9">
                  <c:v>-2.883168845391193E-5</c:v>
                </c:pt>
                <c:pt idx="10">
                  <c:v>-3.887327422891218E-5</c:v>
                </c:pt>
                <c:pt idx="11">
                  <c:v>-5.2119429449604127E-5</c:v>
                </c:pt>
                <c:pt idx="12">
                  <c:v>-6.949246413390231E-5</c:v>
                </c:pt>
                <c:pt idx="13">
                  <c:v>-9.2148275863235263E-5</c:v>
                </c:pt>
                <c:pt idx="14">
                  <c:v>-1.2152620974026362E-4</c:v>
                </c:pt>
                <c:pt idx="15">
                  <c:v>-1.594070799446623E-4</c:v>
                </c:pt>
                <c:pt idx="16">
                  <c:v>-2.0798007961952969E-4</c:v>
                </c:pt>
                <c:pt idx="17">
                  <c:v>-2.6991922313912564E-4</c:v>
                </c:pt>
                <c:pt idx="18">
                  <c:v>-3.4846983788405783E-4</c:v>
                </c:pt>
                <c:pt idx="19">
                  <c:v>-4.4754544571246058E-4</c:v>
                </c:pt>
                <c:pt idx="20">
                  <c:v>-5.7183514251146761E-4</c:v>
                </c:pt>
                <c:pt idx="21">
                  <c:v>-7.2692129405360628E-4</c:v>
                </c:pt>
                <c:pt idx="22">
                  <c:v>-9.1940701619463994E-4</c:v>
                </c:pt>
                <c:pt idx="23">
                  <c:v>-1.1570524979094277E-3</c:v>
                </c:pt>
                <c:pt idx="24">
                  <c:v>-1.4489187601851583E-3</c:v>
                </c:pt>
                <c:pt idx="25">
                  <c:v>-1.8055169290067674E-3</c:v>
                </c:pt>
                <c:pt idx="26">
                  <c:v>-2.2389605466276441E-3</c:v>
                </c:pt>
                <c:pt idx="27">
                  <c:v>-2.76311786579575E-3</c:v>
                </c:pt>
                <c:pt idx="28">
                  <c:v>-3.3937604839843205E-3</c:v>
                </c:pt>
                <c:pt idx="29">
                  <c:v>-4.1487040998879898E-3</c:v>
                </c:pt>
                <c:pt idx="30">
                  <c:v>-5.0479366365270284E-3</c:v>
                </c:pt>
                <c:pt idx="31">
                  <c:v>-6.1137285007780706E-3</c:v>
                </c:pt>
                <c:pt idx="32">
                  <c:v>-7.3707193662547743E-3</c:v>
                </c:pt>
                <c:pt idx="33">
                  <c:v>-8.8459756040079052E-3</c:v>
                </c:pt>
                <c:pt idx="34">
                  <c:v>-1.0569012371724917E-2</c:v>
                </c:pt>
                <c:pt idx="35">
                  <c:v>-1.2571774433183802E-2</c:v>
                </c:pt>
                <c:pt idx="36">
                  <c:v>-1.4888570038381843E-2</c:v>
                </c:pt>
                <c:pt idx="37">
                  <c:v>-1.755595266876675E-2</c:v>
                </c:pt>
                <c:pt idx="38">
                  <c:v>-2.0612546152665834E-2</c:v>
                </c:pt>
                <c:pt idx="39">
                  <c:v>-2.4098809586982961E-2</c:v>
                </c:pt>
                <c:pt idx="40">
                  <c:v>-2.8056739657321694E-2</c:v>
                </c:pt>
                <c:pt idx="41">
                  <c:v>-3.2529509315218585E-2</c:v>
                </c:pt>
                <c:pt idx="42">
                  <c:v>-3.7561043323504073E-2</c:v>
                </c:pt>
                <c:pt idx="43">
                  <c:v>-4.3195532884453325E-2</c:v>
                </c:pt>
                <c:pt idx="44">
                  <c:v>-4.9476893376580566E-2</c:v>
                </c:pt>
                <c:pt idx="45">
                  <c:v>-5.6448171092518429E-2</c:v>
                </c:pt>
                <c:pt idx="46">
                  <c:v>-6.4150906733584923E-2</c:v>
                </c:pt>
                <c:pt idx="47">
                  <c:v>-7.2624465212637657E-2</c:v>
                </c:pt>
                <c:pt idx="48">
                  <c:v>-8.1905342979400886E-2</c:v>
                </c:pt>
                <c:pt idx="49">
                  <c:v>-9.2026465545564262E-2</c:v>
                </c:pt>
                <c:pt idx="50">
                  <c:v>-0.10301648908729</c:v>
                </c:pt>
                <c:pt idx="51">
                  <c:v>-0.11489912088275189</c:v>
                </c:pt>
                <c:pt idx="52">
                  <c:v>-0.12769247385287219</c:v>
                </c:pt>
                <c:pt idx="53">
                  <c:v>-0.14140847057617867</c:v>
                </c:pt>
                <c:pt idx="54">
                  <c:v>-0.15605231181847279</c:v>
                </c:pt>
                <c:pt idx="55">
                  <c:v>-0.17162202384404979</c:v>
                </c:pt>
                <c:pt idx="56">
                  <c:v>-0.18810809756273428</c:v>
                </c:pt>
                <c:pt idx="57">
                  <c:v>-0.20549323093685667</c:v>
                </c:pt>
                <c:pt idx="58">
                  <c:v>-0.22375218406145247</c:v>
                </c:pt>
                <c:pt idx="59">
                  <c:v>-0.24285175399091563</c:v>
                </c:pt>
                <c:pt idx="60">
                  <c:v>-0.26275087378064099</c:v>
                </c:pt>
                <c:pt idx="61">
                  <c:v>-0.28340083741813782</c:v>
                </c:pt>
                <c:pt idx="62">
                  <c:v>-0.30474564941832205</c:v>
                </c:pt>
                <c:pt idx="63">
                  <c:v>-0.32672249494006311</c:v>
                </c:pt>
                <c:pt idx="64">
                  <c:v>-0.34926232343574704</c:v>
                </c:pt>
                <c:pt idx="65">
                  <c:v>-0.37229053616011754</c:v>
                </c:pt>
                <c:pt idx="66">
                  <c:v>-0.39572776542171595</c:v>
                </c:pt>
                <c:pt idx="67">
                  <c:v>-0.41949073133399295</c:v>
                </c:pt>
                <c:pt idx="68">
                  <c:v>-0.44349316007639938</c:v>
                </c:pt>
                <c:pt idx="69">
                  <c:v>-0.46764674635839121</c:v>
                </c:pt>
                <c:pt idx="70">
                  <c:v>-0.49186214192556132</c:v>
                </c:pt>
                <c:pt idx="71">
                  <c:v>-0.51604995157567091</c:v>
                </c:pt>
                <c:pt idx="72">
                  <c:v>-0.54012171826523214</c:v>
                </c:pt>
                <c:pt idx="73">
                  <c:v>-0.56399087947051518</c:v>
                </c:pt>
                <c:pt idx="74">
                  <c:v>-0.58757367799133853</c:v>
                </c:pt>
                <c:pt idx="75">
                  <c:v>-0.61079001180916581</c:v>
                </c:pt>
                <c:pt idx="76">
                  <c:v>-0.63356420937880431</c:v>
                </c:pt>
                <c:pt idx="77">
                  <c:v>-0.65582571878208062</c:v>
                </c:pt>
                <c:pt idx="78">
                  <c:v>-0.67750970143269473</c:v>
                </c:pt>
                <c:pt idx="79">
                  <c:v>-0.69855752342058608</c:v>
                </c:pt>
                <c:pt idx="80">
                  <c:v>-0.71891714004740148</c:v>
                </c:pt>
                <c:pt idx="81">
                  <c:v>-0.73854337155953165</c:v>
                </c:pt>
                <c:pt idx="82">
                  <c:v>-0.75739807046344632</c:v>
                </c:pt>
                <c:pt idx="83">
                  <c:v>-0.77545018304767999</c:v>
                </c:pt>
                <c:pt idx="84">
                  <c:v>-0.79267570978314028</c:v>
                </c:pt>
                <c:pt idx="85">
                  <c:v>-0.8090575710837975</c:v>
                </c:pt>
                <c:pt idx="86">
                  <c:v>-0.82458538644931501</c:v>
                </c:pt>
                <c:pt idx="87">
                  <c:v>-0.83925517625628654</c:v>
                </c:pt>
                <c:pt idx="88">
                  <c:v>-0.85306899640281919</c:v>
                </c:pt>
                <c:pt idx="89">
                  <c:v>-0.86603451663979558</c:v>
                </c:pt>
                <c:pt idx="90">
                  <c:v>-0.87816455374852853</c:v>
                </c:pt>
                <c:pt idx="91">
                  <c:v>-0.8894765707642136</c:v>
                </c:pt>
                <c:pt idx="92">
                  <c:v>-0.89999215322067494</c:v>
                </c:pt>
                <c:pt idx="93">
                  <c:v>-0.90973647293300597</c:v>
                </c:pt>
                <c:pt idx="94">
                  <c:v>-0.91873774917400119</c:v>
                </c:pt>
                <c:pt idx="95">
                  <c:v>-0.92702671627371547</c:v>
                </c:pt>
                <c:pt idx="96">
                  <c:v>-0.93463610571636824</c:v>
                </c:pt>
                <c:pt idx="97">
                  <c:v>-0.94160014976254569</c:v>
                </c:pt>
                <c:pt idx="98">
                  <c:v>-0.9479541125234211</c:v>
                </c:pt>
                <c:pt idx="99">
                  <c:v>-0.95373385329153459</c:v>
                </c:pt>
                <c:pt idx="100">
                  <c:v>-0.95897542582041295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43-4184-A418-64906EE1FCD5}"/>
            </c:ext>
          </c:extLst>
        </c:ser>
        <c:ser>
          <c:idx val="1"/>
          <c:order val="1"/>
          <c:tx>
            <c:v>ATM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Greeks!$Q$12:$Q$112</c:f>
              <c:numCache>
                <c:formatCode>General</c:formatCode>
                <c:ptCount val="101"/>
                <c:pt idx="0">
                  <c:v>-3.0689036949627102E-4</c:v>
                </c:pt>
                <c:pt idx="1">
                  <c:v>-4.0014096329743509E-4</c:v>
                </c:pt>
                <c:pt idx="2">
                  <c:v>-5.1875775206222663E-4</c:v>
                </c:pt>
                <c:pt idx="3">
                  <c:v>-6.687479793875406E-4</c:v>
                </c:pt>
                <c:pt idx="4">
                  <c:v>-8.5729646329502085E-4</c:v>
                </c:pt>
                <c:pt idx="5">
                  <c:v>-1.0929354943308711E-3</c:v>
                </c:pt>
                <c:pt idx="6">
                  <c:v>-1.3857254165308142E-3</c:v>
                </c:pt>
                <c:pt idx="7">
                  <c:v>-1.7474434275733808E-3</c:v>
                </c:pt>
                <c:pt idx="8">
                  <c:v>-2.1917773320331291E-3</c:v>
                </c:pt>
                <c:pt idx="9">
                  <c:v>-2.7345201334668667E-3</c:v>
                </c:pt>
                <c:pt idx="10">
                  <c:v>-3.3937604839843205E-3</c:v>
                </c:pt>
                <c:pt idx="11">
                  <c:v>-4.190063156924495E-3</c:v>
                </c:pt>
                <c:pt idx="12">
                  <c:v>-5.1466329076766959E-3</c:v>
                </c:pt>
                <c:pt idx="13">
                  <c:v>-6.289454382369386E-3</c:v>
                </c:pt>
                <c:pt idx="14">
                  <c:v>-7.6474001698950689E-3</c:v>
                </c:pt>
                <c:pt idx="15">
                  <c:v>-9.2522987164139758E-3</c:v>
                </c:pt>
                <c:pt idx="16">
                  <c:v>-1.1138953678832442E-2</c:v>
                </c:pt>
                <c:pt idx="17">
                  <c:v>-1.3345106426918441E-2</c:v>
                </c:pt>
                <c:pt idx="18">
                  <c:v>-1.5911333848525611E-2</c:v>
                </c:pt>
                <c:pt idx="19">
                  <c:v>-1.8880874395777569E-2</c:v>
                </c:pt>
                <c:pt idx="20">
                  <c:v>-2.2299376447412755E-2</c:v>
                </c:pt>
                <c:pt idx="21">
                  <c:v>-2.6214564555513409E-2</c:v>
                </c:pt>
                <c:pt idx="22">
                  <c:v>-3.0675820979758517E-2</c:v>
                </c:pt>
                <c:pt idx="23">
                  <c:v>-3.5733682058777694E-2</c:v>
                </c:pt>
                <c:pt idx="24">
                  <c:v>-4.1439251378724395E-2</c:v>
                </c:pt>
                <c:pt idx="25">
                  <c:v>-4.7843534310024971E-2</c:v>
                </c:pt>
                <c:pt idx="26">
                  <c:v>-5.4996701215405897E-2</c:v>
                </c:pt>
                <c:pt idx="27">
                  <c:v>-6.2947289394069572E-2</c:v>
                </c:pt>
                <c:pt idx="28">
                  <c:v>-7.1741356516998533E-2</c:v>
                </c:pt>
                <c:pt idx="29">
                  <c:v>-8.1421600819924778E-2</c:v>
                </c:pt>
                <c:pt idx="30">
                  <c:v>-9.2026465545564262E-2</c:v>
                </c:pt>
                <c:pt idx="31">
                  <c:v>-0.1035892469610562</c:v>
                </c:pt>
                <c:pt idx="32">
                  <c:v>-0.11613722662505122</c:v>
                </c:pt>
                <c:pt idx="33">
                  <c:v>-0.1296908493599439</c:v>
                </c:pt>
                <c:pt idx="34">
                  <c:v>-0.14426296853532616</c:v>
                </c:pt>
                <c:pt idx="35">
                  <c:v>-0.15985817974769301</c:v>
                </c:pt>
                <c:pt idx="36">
                  <c:v>-0.17647226277284367</c:v>
                </c:pt>
                <c:pt idx="37">
                  <c:v>-0.19409174978203014</c:v>
                </c:pt>
                <c:pt idx="38">
                  <c:v>-0.2126936352889286</c:v>
                </c:pt>
                <c:pt idx="39">
                  <c:v>-0.23224524019683923</c:v>
                </c:pt>
                <c:pt idx="40">
                  <c:v>-0.25270423873349712</c:v>
                </c:pt>
                <c:pt idx="41">
                  <c:v>-0.27401885310525442</c:v>
                </c:pt>
                <c:pt idx="42">
                  <c:v>-0.29612821650091325</c:v>
                </c:pt>
                <c:pt idx="43">
                  <c:v>-0.31896290076738487</c:v>
                </c:pt>
                <c:pt idx="44">
                  <c:v>-0.34244560081019648</c:v>
                </c:pt>
                <c:pt idx="45">
                  <c:v>-0.36649196368647452</c:v>
                </c:pt>
                <c:pt idx="46">
                  <c:v>-0.3910115465954358</c:v>
                </c:pt>
                <c:pt idx="47">
                  <c:v>-0.41590888465800346</c:v>
                </c:pt>
                <c:pt idx="48">
                  <c:v>-0.44108464662239666</c:v>
                </c:pt>
                <c:pt idx="49">
                  <c:v>-0.46643685452373529</c:v>
                </c:pt>
                <c:pt idx="50">
                  <c:v>-0.49186214192556132</c:v>
                </c:pt>
                <c:pt idx="51">
                  <c:v>-0.51725702471492208</c:v>
                </c:pt>
                <c:pt idx="52">
                  <c:v>-0.54251915851781773</c:v>
                </c:pt>
                <c:pt idx="53">
                  <c:v>-0.56754855762813261</c:v>
                </c:pt>
                <c:pt idx="54">
                  <c:v>-0.59224875185466574</c:v>
                </c:pt>
                <c:pt idx="55">
                  <c:v>-0.61652785981824243</c:v>
                </c:pt>
                <c:pt idx="56">
                  <c:v>-0.64029955988540743</c:v>
                </c:pt>
                <c:pt idx="57">
                  <c:v>-0.66348394300273472</c:v>
                </c:pt>
                <c:pt idx="58">
                  <c:v>-0.6860082350819382</c:v>
                </c:pt>
                <c:pt idx="59">
                  <c:v>-0.70780738016079714</c:v>
                </c:pt>
                <c:pt idx="60">
                  <c:v>-0.72882447920793769</c:v>
                </c:pt>
                <c:pt idx="61">
                  <c:v>-0.74901108303455599</c:v>
                </c:pt>
                <c:pt idx="62">
                  <c:v>-0.76832734121541824</c:v>
                </c:pt>
                <c:pt idx="63">
                  <c:v>-0.78674201210907668</c:v>
                </c:pt>
                <c:pt idx="64">
                  <c:v>-0.80423234192233739</c:v>
                </c:pt>
                <c:pt idx="65">
                  <c:v>-0.82078382322244847</c:v>
                </c:pt>
                <c:pt idx="66">
                  <c:v>-0.83638984531634286</c:v>
                </c:pt>
                <c:pt idx="67">
                  <c:v>-0.85105125046184127</c:v>
                </c:pt>
                <c:pt idx="68">
                  <c:v>-0.86477581094137612</c:v>
                </c:pt>
                <c:pt idx="69">
                  <c:v>-0.87757764262158466</c:v>
                </c:pt>
                <c:pt idx="70">
                  <c:v>-0.8894765707642136</c:v>
                </c:pt>
                <c:pt idx="71">
                  <c:v>-0.90049746358024585</c:v>
                </c:pt>
                <c:pt idx="72">
                  <c:v>-0.91066954837543546</c:v>
                </c:pt>
                <c:pt idx="73">
                  <c:v>-0.92002572417478501</c:v>
                </c:pt>
                <c:pt idx="74">
                  <c:v>-0.92860188349415196</c:v>
                </c:pt>
                <c:pt idx="75">
                  <c:v>-0.9364362545098972</c:v>
                </c:pt>
                <c:pt idx="76">
                  <c:v>-0.94356877332301159</c:v>
                </c:pt>
                <c:pt idx="77">
                  <c:v>-0.95004049438109317</c:v>
                </c:pt>
                <c:pt idx="78">
                  <c:v>-0.95589304546453002</c:v>
                </c:pt>
                <c:pt idx="79">
                  <c:v>-0.96116813201147766</c:v>
                </c:pt>
                <c:pt idx="80">
                  <c:v>-0.96590709399237495</c:v>
                </c:pt>
                <c:pt idx="81">
                  <c:v>-0.97015051708429778</c:v>
                </c:pt>
                <c:pt idx="82">
                  <c:v>-0.9739378985663204</c:v>
                </c:pt>
                <c:pt idx="83">
                  <c:v>-0.97730736717960298</c:v>
                </c:pt>
                <c:pt idx="84">
                  <c:v>-0.98029545518323236</c:v>
                </c:pt>
                <c:pt idx="85">
                  <c:v>-0.9829369199952509</c:v>
                </c:pt>
                <c:pt idx="86">
                  <c:v>-0.98526461213805572</c:v>
                </c:pt>
                <c:pt idx="87">
                  <c:v>-0.98730938570349036</c:v>
                </c:pt>
                <c:pt idx="88">
                  <c:v>-0.98910004720614686</c:v>
                </c:pt>
                <c:pt idx="89">
                  <c:v>-0.99066333849095511</c:v>
                </c:pt>
                <c:pt idx="90">
                  <c:v>-0.9920239492878562</c:v>
                </c:pt>
                <c:pt idx="91">
                  <c:v>-0.99320455504540783</c:v>
                </c:pt>
                <c:pt idx="92">
                  <c:v>-0.99422587580896227</c:v>
                </c:pt>
                <c:pt idx="93">
                  <c:v>-0.99510675211980815</c:v>
                </c:pt>
                <c:pt idx="94">
                  <c:v>-0.99586423418215431</c:v>
                </c:pt>
                <c:pt idx="95">
                  <c:v>-0.99651368085873893</c:v>
                </c:pt>
                <c:pt idx="96">
                  <c:v>-0.99706886539823725</c:v>
                </c:pt>
                <c:pt idx="97">
                  <c:v>-0.99754208515514664</c:v>
                </c:pt>
                <c:pt idx="98">
                  <c:v>-0.99794427292385812</c:v>
                </c:pt>
                <c:pt idx="99">
                  <c:v>-0.9982851078634245</c:v>
                </c:pt>
                <c:pt idx="100">
                  <c:v>-0.99857312433016088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43-4184-A418-64906EE1FCD5}"/>
            </c:ext>
          </c:extLst>
        </c:ser>
        <c:ser>
          <c:idx val="2"/>
          <c:order val="2"/>
          <c:tx>
            <c:v>OTM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Greeks!$R$12:$R$112</c:f>
              <c:numCache>
                <c:formatCode>General</c:formatCode>
                <c:ptCount val="101"/>
                <c:pt idx="0">
                  <c:v>-1.7109925588474351E-2</c:v>
                </c:pt>
                <c:pt idx="1">
                  <c:v>-2.0441321862558981E-2</c:v>
                </c:pt>
                <c:pt idx="2">
                  <c:v>-2.4294989353915719E-2</c:v>
                </c:pt>
                <c:pt idx="3">
                  <c:v>-2.8727618338314276E-2</c:v>
                </c:pt>
                <c:pt idx="4">
                  <c:v>-3.3797619969413217E-2</c:v>
                </c:pt>
                <c:pt idx="5">
                  <c:v>-3.9564415562267419E-2</c:v>
                </c:pt>
                <c:pt idx="6">
                  <c:v>-4.6087615942956073E-2</c:v>
                </c:pt>
                <c:pt idx="7">
                  <c:v>-5.3426099768189683E-2</c:v>
                </c:pt>
                <c:pt idx="8">
                  <c:v>-6.1637003876965801E-2</c:v>
                </c:pt>
                <c:pt idx="9">
                  <c:v>-7.0774642836770152E-2</c:v>
                </c:pt>
                <c:pt idx="10">
                  <c:v>-8.0889378713354221E-2</c:v>
                </c:pt>
                <c:pt idx="11">
                  <c:v>-9.2026465545564262E-2</c:v>
                </c:pt>
                <c:pt idx="12">
                  <c:v>-0.10422489586937389</c:v>
                </c:pt>
                <c:pt idx="13">
                  <c:v>-0.11751627874665616</c:v>
                </c:pt>
                <c:pt idx="14">
                  <c:v>-0.13192377997571925</c:v>
                </c:pt>
                <c:pt idx="15">
                  <c:v>-0.14746115538535176</c:v>
                </c:pt>
                <c:pt idx="16">
                  <c:v>-0.1641319072736348</c:v>
                </c:pt>
                <c:pt idx="17">
                  <c:v>-0.18192859212292523</c:v>
                </c:pt>
                <c:pt idx="18">
                  <c:v>-0.2008323047258751</c:v>
                </c:pt>
                <c:pt idx="19">
                  <c:v>-0.22081235986528869</c:v>
                </c:pt>
                <c:pt idx="20">
                  <c:v>-0.24182618781989595</c:v>
                </c:pt>
                <c:pt idx="21">
                  <c:v>-0.26381945437794274</c:v>
                </c:pt>
                <c:pt idx="22">
                  <c:v>-0.28672640992525511</c:v>
                </c:pt>
                <c:pt idx="23">
                  <c:v>-0.31047046575505777</c:v>
                </c:pt>
                <c:pt idx="24">
                  <c:v>-0.33496498926140772</c:v>
                </c:pt>
                <c:pt idx="25">
                  <c:v>-0.36011430336962746</c:v>
                </c:pt>
                <c:pt idx="26">
                  <c:v>-0.3858148696634951</c:v>
                </c:pt>
                <c:pt idx="27">
                  <c:v>-0.41195662941068412</c:v>
                </c:pt>
                <c:pt idx="28">
                  <c:v>-0.43842447225886416</c:v>
                </c:pt>
                <c:pt idx="29">
                  <c:v>-0.46509979893302389</c:v>
                </c:pt>
                <c:pt idx="30">
                  <c:v>-0.49186214192556132</c:v>
                </c:pt>
                <c:pt idx="31">
                  <c:v>-0.51859080700333937</c:v>
                </c:pt>
                <c:pt idx="32">
                  <c:v>-0.54516649837978104</c:v>
                </c:pt>
                <c:pt idx="33">
                  <c:v>-0.57147289158667514</c:v>
                </c:pt>
                <c:pt idx="34">
                  <c:v>-0.59739812035485673</c:v>
                </c:pt>
                <c:pt idx="35">
                  <c:v>-0.62283614706015167</c:v>
                </c:pt>
                <c:pt idx="36">
                  <c:v>-0.64768799036124847</c:v>
                </c:pt>
                <c:pt idx="37">
                  <c:v>-0.67186278837406477</c:v>
                </c:pt>
                <c:pt idx="38">
                  <c:v>-0.69527868089966982</c:v>
                </c:pt>
                <c:pt idx="39">
                  <c:v>-0.7178634996492953</c:v>
                </c:pt>
                <c:pt idx="40">
                  <c:v>-0.73955526089069046</c:v>
                </c:pt>
                <c:pt idx="41">
                  <c:v>-0.76030246028486936</c:v>
                </c:pt>
                <c:pt idx="42">
                  <c:v>-0.78006417471824097</c:v>
                </c:pt>
                <c:pt idx="43">
                  <c:v>-0.79880998051221408</c:v>
                </c:pt>
                <c:pt idx="44">
                  <c:v>-0.8165197013886546</c:v>
                </c:pt>
                <c:pt idx="45">
                  <c:v>-0.83318300289380787</c:v>
                </c:pt>
                <c:pt idx="46">
                  <c:v>-0.84879885257640009</c:v>
                </c:pt>
                <c:pt idx="47">
                  <c:v>-0.86337486705049082</c:v>
                </c:pt>
                <c:pt idx="48">
                  <c:v>-0.87692656815340042</c:v>
                </c:pt>
                <c:pt idx="49">
                  <c:v>-0.8894765707642136</c:v>
                </c:pt>
                <c:pt idx="50">
                  <c:v>-0.90105372453318333</c:v>
                </c:pt>
                <c:pt idx="51">
                  <c:v>-0.91169223086004969</c:v>
                </c:pt>
                <c:pt idx="52">
                  <c:v>-0.92143075503740002</c:v>
                </c:pt>
                <c:pt idx="53">
                  <c:v>-0.93031155164055745</c:v>
                </c:pt>
                <c:pt idx="54">
                  <c:v>-0.93837961909931789</c:v>
                </c:pt>
                <c:pt idx="55">
                  <c:v>-0.94568189703034577</c:v>
                </c:pt>
                <c:pt idx="56">
                  <c:v>-0.95226651743941282</c:v>
                </c:pt>
                <c:pt idx="57">
                  <c:v>-0.95818211840972678</c:v>
                </c:pt>
                <c:pt idx="58">
                  <c:v>-0.96347722645633305</c:v>
                </c:pt>
                <c:pt idx="59">
                  <c:v>-0.96819971141509875</c:v>
                </c:pt>
                <c:pt idx="60">
                  <c:v>-0.97239631560339945</c:v>
                </c:pt>
                <c:pt idx="61">
                  <c:v>-0.97611225708029303</c:v>
                </c:pt>
                <c:pt idx="62">
                  <c:v>-0.97939090517549021</c:v>
                </c:pt>
                <c:pt idx="63">
                  <c:v>-0.98227352506529231</c:v>
                </c:pt>
                <c:pt idx="64">
                  <c:v>-0.98479908705494168</c:v>
                </c:pt>
                <c:pt idx="65">
                  <c:v>-0.98700413537583365</c:v>
                </c:pt>
                <c:pt idx="66">
                  <c:v>-0.98892271070973681</c:v>
                </c:pt>
                <c:pt idx="67">
                  <c:v>-0.99058632029105553</c:v>
                </c:pt>
                <c:pt idx="68">
                  <c:v>-0.9920239492878562</c:v>
                </c:pt>
                <c:pt idx="69">
                  <c:v>-0.99326210719531249</c:v>
                </c:pt>
                <c:pt idx="70">
                  <c:v>-0.99432490316214872</c:v>
                </c:pt>
                <c:pt idx="71">
                  <c:v>-0.9952341444819538</c:v>
                </c:pt>
                <c:pt idx="72">
                  <c:v>-0.99600945288806086</c:v>
                </c:pt>
                <c:pt idx="73">
                  <c:v>-0.99666839376584981</c:v>
                </c:pt>
                <c:pt idx="74">
                  <c:v>-0.99722661391500744</c:v>
                </c:pt>
                <c:pt idx="75">
                  <c:v>-0.9976979840344824</c:v>
                </c:pt>
                <c:pt idx="76">
                  <c:v>-0.99809474264570996</c:v>
                </c:pt>
                <c:pt idx="77">
                  <c:v>-0.99842763869951012</c:v>
                </c:pt>
                <c:pt idx="78">
                  <c:v>-0.99870607061640027</c:v>
                </c:pt>
                <c:pt idx="79">
                  <c:v>-0.99893821997951315</c:v>
                </c:pt>
                <c:pt idx="80">
                  <c:v>-0.99913117852723476</c:v>
                </c:pt>
                <c:pt idx="81">
                  <c:v>-0.99929106747499585</c:v>
                </c:pt>
                <c:pt idx="82">
                  <c:v>-0.99942314853041536</c:v>
                </c:pt>
                <c:pt idx="83">
                  <c:v>-0.99953192625311327</c:v>
                </c:pt>
                <c:pt idx="84">
                  <c:v>-0.99962124165133548</c:v>
                </c:pt>
                <c:pt idx="85">
                  <c:v>-0.99969435710457022</c:v>
                </c:pt>
                <c:pt idx="86">
                  <c:v>-0.99975403285791009</c:v>
                </c:pt>
                <c:pt idx="87">
                  <c:v>-0.99980259545388628</c:v>
                </c:pt>
                <c:pt idx="88">
                  <c:v>-0.99984199855506772</c:v>
                </c:pt>
                <c:pt idx="89">
                  <c:v>-0.99987387667014926</c:v>
                </c:pt>
                <c:pt idx="90">
                  <c:v>-0.99989959233178383</c:v>
                </c:pt>
                <c:pt idx="91">
                  <c:v>-0.99992027729008948</c:v>
                </c:pt>
                <c:pt idx="92">
                  <c:v>-0.99993686828534789</c:v>
                </c:pt>
                <c:pt idx="93">
                  <c:v>-0.99995013795034182</c:v>
                </c:pt>
                <c:pt idx="94">
                  <c:v>-0.99996072137010616</c:v>
                </c:pt>
                <c:pt idx="95">
                  <c:v>-0.99996913879726068</c:v>
                </c:pt>
                <c:pt idx="96">
                  <c:v>-0.99997581498681953</c:v>
                </c:pt>
                <c:pt idx="97">
                  <c:v>-0.99998109557734627</c:v>
                </c:pt>
                <c:pt idx="98">
                  <c:v>-0.99998526090708162</c:v>
                </c:pt>
                <c:pt idx="99">
                  <c:v>-0.9999885376154648</c:v>
                </c:pt>
                <c:pt idx="100">
                  <c:v>-0.99999110834323068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43-4184-A418-64906EE1F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Gamma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Greeks!$S$12:$S$112</c:f>
              <c:numCache>
                <c:formatCode>General</c:formatCode>
                <c:ptCount val="101"/>
                <c:pt idx="0">
                  <c:v>4.371899401880311E-9</c:v>
                </c:pt>
                <c:pt idx="1">
                  <c:v>6.124392933231361E-9</c:v>
                </c:pt>
                <c:pt idx="2">
                  <c:v>8.5261018429629809E-9</c:v>
                </c:pt>
                <c:pt idx="3">
                  <c:v>1.1796533409586666E-8</c:v>
                </c:pt>
                <c:pt idx="4">
                  <c:v>1.6221698200920587E-8</c:v>
                </c:pt>
                <c:pt idx="5">
                  <c:v>2.2171631643320554E-8</c:v>
                </c:pt>
                <c:pt idx="6">
                  <c:v>3.0121707785619412E-8</c:v>
                </c:pt>
                <c:pt idx="7">
                  <c:v>4.067832760128135E-8</c:v>
                </c:pt>
                <c:pt idx="8">
                  <c:v>5.4609588297155376E-8</c:v>
                </c:pt>
                <c:pt idx="9">
                  <c:v>7.2881545483283245E-8</c:v>
                </c:pt>
                <c:pt idx="10">
                  <c:v>9.6700660616595938E-8</c:v>
                </c:pt>
                <c:pt idx="11">
                  <c:v>1.2756297527532806E-7</c:v>
                </c:pt>
                <c:pt idx="12">
                  <c:v>1.6731046470919273E-7</c:v>
                </c:pt>
                <c:pt idx="13">
                  <c:v>2.1819488897392856E-7</c:v>
                </c:pt>
                <c:pt idx="14">
                  <c:v>2.8294927451547629E-7</c:v>
                </c:pt>
                <c:pt idx="15">
                  <c:v>3.6486691701629755E-7</c:v>
                </c:pt>
                <c:pt idx="16">
                  <c:v>4.6788749389354432E-7</c:v>
                </c:pt>
                <c:pt idx="17">
                  <c:v>5.9668951043489086E-7</c:v>
                </c:pt>
                <c:pt idx="18">
                  <c:v>7.5678787833824087E-7</c:v>
                </c:pt>
                <c:pt idx="19">
                  <c:v>9.5463494393348193E-7</c:v>
                </c:pt>
                <c:pt idx="20">
                  <c:v>1.1977227540808988E-6</c:v>
                </c:pt>
                <c:pt idx="21">
                  <c:v>1.4946837834856038E-6</c:v>
                </c:pt>
                <c:pt idx="22">
                  <c:v>1.8553867653801158E-6</c:v>
                </c:pt>
                <c:pt idx="23">
                  <c:v>2.2910236903000876E-6</c:v>
                </c:pt>
                <c:pt idx="24">
                  <c:v>2.8141834915345113E-6</c:v>
                </c:pt>
                <c:pt idx="25">
                  <c:v>3.4389074511930717E-6</c:v>
                </c:pt>
                <c:pt idx="26">
                  <c:v>4.1807209711543086E-6</c:v>
                </c:pt>
                <c:pt idx="27">
                  <c:v>5.0566360937301614E-6</c:v>
                </c:pt>
                <c:pt idx="28">
                  <c:v>6.0851190633060455E-6</c:v>
                </c:pt>
                <c:pt idx="29">
                  <c:v>7.2860173265786173E-6</c:v>
                </c:pt>
                <c:pt idx="30">
                  <c:v>8.6804407058783407E-6</c:v>
                </c:pt>
                <c:pt idx="31">
                  <c:v>1.0290592072268433E-5</c:v>
                </c:pt>
                <c:pt idx="32">
                  <c:v>1.2139543709598688E-5</c:v>
                </c:pt>
                <c:pt idx="33">
                  <c:v>1.4250956704414377E-5</c:v>
                </c:pt>
                <c:pt idx="34">
                  <c:v>1.6648742114693496E-5</c:v>
                </c:pt>
                <c:pt idx="35">
                  <c:v>1.935666434465103E-5</c:v>
                </c:pt>
                <c:pt idx="36">
                  <c:v>2.2397889050947166E-5</c:v>
                </c:pt>
                <c:pt idx="37">
                  <c:v>2.5794479980748405E-5</c:v>
                </c:pt>
                <c:pt idx="38">
                  <c:v>2.9566851333391083E-5</c:v>
                </c:pt>
                <c:pt idx="39">
                  <c:v>3.3733184471424725E-5</c:v>
                </c:pt>
                <c:pt idx="40">
                  <c:v>3.8308819999445942E-5</c:v>
                </c:pt>
                <c:pt idx="41">
                  <c:v>4.3305638288685666E-5</c:v>
                </c:pt>
                <c:pt idx="42">
                  <c:v>4.8731443355975994E-5</c:v>
                </c:pt>
                <c:pt idx="43">
                  <c:v>5.458936651185437E-5</c:v>
                </c:pt>
                <c:pt idx="44">
                  <c:v>6.0877307283278907E-5</c:v>
                </c:pt>
                <c:pt idx="45">
                  <c:v>6.7587429710222214E-5</c:v>
                </c:pt>
                <c:pt idx="46">
                  <c:v>7.4705732144978403E-5</c:v>
                </c:pt>
                <c:pt idx="47">
                  <c:v>8.2211708099420166E-5</c:v>
                </c:pt>
                <c:pt idx="48">
                  <c:v>9.0078114461813495E-5</c:v>
                </c:pt>
                <c:pt idx="49">
                  <c:v>9.8270861539307946E-5</c:v>
                </c:pt>
                <c:pt idx="50">
                  <c:v>1.0674903689961268E-4</c:v>
                </c:pt>
                <c:pt idx="51">
                  <c:v>1.1546507193766045E-4</c:v>
                </c:pt>
                <c:pt idx="52">
                  <c:v>1.2436505655875695E-4</c:v>
                </c:pt>
                <c:pt idx="53">
                  <c:v>1.3338920345153346E-4</c:v>
                </c:pt>
                <c:pt idx="54">
                  <c:v>1.4247245924563147E-4</c:v>
                </c:pt>
                <c:pt idx="55">
                  <c:v>1.5154525555035076E-4</c:v>
                </c:pt>
                <c:pt idx="56">
                  <c:v>1.6053438860222079E-4</c:v>
                </c:pt>
                <c:pt idx="57">
                  <c:v>1.6936401216662391E-4</c:v>
                </c:pt>
                <c:pt idx="58">
                  <c:v>1.7795672459418617E-4</c:v>
                </c:pt>
                <c:pt idx="59">
                  <c:v>1.8623472767062321E-4</c:v>
                </c:pt>
                <c:pt idx="60">
                  <c:v>1.9412103224760029E-4</c:v>
                </c:pt>
                <c:pt idx="61">
                  <c:v>2.0154068370924064E-4</c:v>
                </c:pt>
                <c:pt idx="62">
                  <c:v>2.0842197919541131E-4</c:v>
                </c:pt>
                <c:pt idx="63">
                  <c:v>2.1469764821985688E-4</c:v>
                </c:pt>
                <c:pt idx="64">
                  <c:v>2.2030596890766741E-4</c:v>
                </c:pt>
                <c:pt idx="65">
                  <c:v>2.251917935179521E-4</c:v>
                </c:pt>
                <c:pt idx="66">
                  <c:v>2.2930745916704598E-4</c:v>
                </c:pt>
                <c:pt idx="67">
                  <c:v>2.3261356264759589E-4</c:v>
                </c:pt>
                <c:pt idx="68">
                  <c:v>2.350795818448923E-4</c:v>
                </c:pt>
                <c:pt idx="69">
                  <c:v>2.3668433035697685E-4</c:v>
                </c:pt>
                <c:pt idx="70">
                  <c:v>2.3741623638552788E-4</c:v>
                </c:pt>
                <c:pt idx="71">
                  <c:v>2.3727344162593691E-4</c:v>
                </c:pt>
                <c:pt idx="72">
                  <c:v>2.3626372058878256E-4</c:v>
                </c:pt>
                <c:pt idx="73">
                  <c:v>2.3440422537493496E-4</c:v>
                </c:pt>
                <c:pt idx="74">
                  <c:v>2.3172106525521041E-4</c:v>
                </c:pt>
                <c:pt idx="75">
                  <c:v>2.2824873433948678E-4</c:v>
                </c:pt>
                <c:pt idx="76">
                  <c:v>2.2402940404507094E-4</c:v>
                </c:pt>
                <c:pt idx="77">
                  <c:v>2.1911209989823027E-4</c:v>
                </c:pt>
                <c:pt idx="78">
                  <c:v>2.1355178435980684E-4</c:v>
                </c:pt>
                <c:pt idx="79">
                  <c:v>2.0740836881614309E-4</c:v>
                </c:pt>
                <c:pt idx="80">
                  <c:v>2.0074567860746658E-4</c:v>
                </c:pt>
                <c:pt idx="81">
                  <c:v>1.9363039499069944E-4</c:v>
                </c:pt>
                <c:pt idx="82">
                  <c:v>1.8613099728960448E-4</c:v>
                </c:pt>
                <c:pt idx="83">
                  <c:v>1.7831672723062837E-4</c:v>
                </c:pt>
                <c:pt idx="84">
                  <c:v>1.7025659567355178E-4</c:v>
                </c:pt>
                <c:pt idx="85">
                  <c:v>1.6201844971151975E-4</c:v>
                </c:pt>
                <c:pt idx="86">
                  <c:v>1.5366811553365069E-4</c:v>
                </c:pt>
                <c:pt idx="87">
                  <c:v>1.4526862961854409E-4</c:v>
                </c:pt>
                <c:pt idx="88">
                  <c:v>1.3687956786249795E-4</c:v>
                </c:pt>
                <c:pt idx="89">
                  <c:v>1.2855647924266779E-4</c:v>
                </c:pt>
                <c:pt idx="90">
                  <c:v>1.203504276664929E-4</c:v>
                </c:pt>
                <c:pt idx="91">
                  <c:v>1.1230764284867438E-4</c:v>
                </c:pt>
                <c:pt idx="92">
                  <c:v>1.0446927845797523E-4</c:v>
                </c:pt>
                <c:pt idx="93">
                  <c:v>9.6871273447026566E-5</c:v>
                </c:pt>
                <c:pt idx="94">
                  <c:v>8.9544310463631144E-5</c:v>
                </c:pt>
                <c:pt idx="95">
                  <c:v>8.2513863571746719E-5</c:v>
                </c:pt>
                <c:pt idx="96">
                  <c:v>7.5800326200257574E-5</c:v>
                </c:pt>
                <c:pt idx="97">
                  <c:v>6.941920929033469E-5</c:v>
                </c:pt>
                <c:pt idx="98">
                  <c:v>6.3381399018242379E-5</c:v>
                </c:pt>
                <c:pt idx="99">
                  <c:v>5.7693463210066947E-5</c:v>
                </c:pt>
                <c:pt idx="100">
                  <c:v>5.235799560979666E-5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14-4E8D-A4AD-A9416A3975F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Greeks!$T$12:$T$112</c:f>
              <c:numCache>
                <c:formatCode>General</c:formatCode>
                <c:ptCount val="101"/>
                <c:pt idx="0">
                  <c:v>7.0606887591577366E-7</c:v>
                </c:pt>
                <c:pt idx="1">
                  <c:v>9.0350257567190257E-7</c:v>
                </c:pt>
                <c:pt idx="2">
                  <c:v>1.149259603568753E-6</c:v>
                </c:pt>
                <c:pt idx="3">
                  <c:v>1.453230510198531E-6</c:v>
                </c:pt>
                <c:pt idx="4">
                  <c:v>1.8268356368908264E-6</c:v>
                </c:pt>
                <c:pt idx="5">
                  <c:v>2.2831466838933117E-6</c:v>
                </c:pt>
                <c:pt idx="6">
                  <c:v>2.8369918168700118E-6</c:v>
                </c:pt>
                <c:pt idx="7">
                  <c:v>3.5050371980717729E-6</c:v>
                </c:pt>
                <c:pt idx="8">
                  <c:v>4.3058371760147101E-6</c:v>
                </c:pt>
                <c:pt idx="9">
                  <c:v>5.2598449112250007E-6</c:v>
                </c:pt>
                <c:pt idx="10">
                  <c:v>6.3893750164713478E-6</c:v>
                </c:pt>
                <c:pt idx="11">
                  <c:v>7.7185099068577378E-6</c:v>
                </c:pt>
                <c:pt idx="12">
                  <c:v>9.272942041433188E-6</c:v>
                </c:pt>
                <c:pt idx="13">
                  <c:v>1.1079745137062614E-5</c:v>
                </c:pt>
                <c:pt idx="14">
                  <c:v>1.3167068776785385E-5</c:v>
                </c:pt>
                <c:pt idx="15">
                  <c:v>1.5563752630511577E-5</c:v>
                </c:pt>
                <c:pt idx="16">
                  <c:v>1.8298858746136318E-5</c:v>
                </c:pt>
                <c:pt idx="17">
                  <c:v>2.1401123020499251E-5</c:v>
                </c:pt>
                <c:pt idx="18">
                  <c:v>2.4898329962988994E-5</c:v>
                </c:pt>
                <c:pt idx="19">
                  <c:v>2.8816618135092431E-5</c:v>
                </c:pt>
                <c:pt idx="20">
                  <c:v>3.3179727077204943E-5</c:v>
                </c:pt>
                <c:pt idx="21">
                  <c:v>3.8008199988165594E-5</c:v>
                </c:pt>
                <c:pt idx="22">
                  <c:v>4.331855975447287E-5</c:v>
                </c:pt>
                <c:pt idx="23">
                  <c:v>4.9122478974808324E-5</c:v>
                </c:pt>
                <c:pt idx="24">
                  <c:v>5.5425967226979193E-5</c:v>
                </c:pt>
                <c:pt idx="25">
                  <c:v>6.2228600818548316E-5</c:v>
                </c:pt>
                <c:pt idx="26">
                  <c:v>6.952282150194743E-5</c:v>
                </c:pt>
                <c:pt idx="27">
                  <c:v>7.7293330994347037E-5</c:v>
                </c:pt>
                <c:pt idx="28">
                  <c:v>8.5516607526781946E-5</c:v>
                </c:pt>
                <c:pt idx="29">
                  <c:v>9.4160568998413375E-5</c:v>
                </c:pt>
                <c:pt idx="30">
                  <c:v>1.0318440461627334E-4</c:v>
                </c:pt>
                <c:pt idx="31">
                  <c:v>1.1253859319148827E-4</c:v>
                </c:pt>
                <c:pt idx="32">
                  <c:v>1.221651216219199E-4</c:v>
                </c:pt>
                <c:pt idx="33">
                  <c:v>1.319979116478976E-4</c:v>
                </c:pt>
                <c:pt idx="34">
                  <c:v>1.4196345689593861E-4</c:v>
                </c:pt>
                <c:pt idx="35">
                  <c:v>1.519816657360869E-4</c:v>
                </c:pt>
                <c:pt idx="36">
                  <c:v>1.6196689881191578E-4</c:v>
                </c:pt>
                <c:pt idx="37">
                  <c:v>1.7182918351673796E-4</c:v>
                </c:pt>
                <c:pt idx="38">
                  <c:v>1.8147558145015908E-4</c:v>
                </c:pt>
                <c:pt idx="39">
                  <c:v>1.9081167925471263E-4</c:v>
                </c:pt>
                <c:pt idx="40">
                  <c:v>1.9974316844305053E-4</c:v>
                </c:pt>
                <c:pt idx="41">
                  <c:v>2.0817747609161094E-4</c:v>
                </c:pt>
                <c:pt idx="42">
                  <c:v>2.1602540576525452E-4</c:v>
                </c:pt>
                <c:pt idx="43">
                  <c:v>2.2320274686765348E-4</c:v>
                </c:pt>
                <c:pt idx="44">
                  <c:v>2.2963181084724199E-4</c:v>
                </c:pt>
                <c:pt idx="45">
                  <c:v>2.3524285433202896E-4</c:v>
                </c:pt>
                <c:pt idx="46">
                  <c:v>2.3997535226319257E-4</c:v>
                </c:pt>
                <c:pt idx="47">
                  <c:v>2.4377908833501659E-4</c:v>
                </c:pt>
                <c:pt idx="48">
                  <c:v>2.4661503536436573E-4</c:v>
                </c:pt>
                <c:pt idx="49">
                  <c:v>2.4845600440033685E-4</c:v>
                </c:pt>
                <c:pt idx="50">
                  <c:v>2.4928704820480424E-4</c:v>
                </c:pt>
                <c:pt idx="51">
                  <c:v>2.4910561192640826E-4</c:v>
                </c:pt>
                <c:pt idx="52">
                  <c:v>2.4792143108379817E-4</c:v>
                </c:pt>
                <c:pt idx="53">
                  <c:v>2.4575618410110927E-4</c:v>
                </c:pt>
                <c:pt idx="54">
                  <c:v>2.426429133467795E-4</c:v>
                </c:pt>
                <c:pt idx="55">
                  <c:v>2.3862523468814824E-4</c:v>
                </c:pt>
                <c:pt idx="56">
                  <c:v>2.33756360795235E-4</c:v>
                </c:pt>
                <c:pt idx="57">
                  <c:v>2.2809796765524206E-4</c:v>
                </c:pt>
                <c:pt idx="58">
                  <c:v>2.2171893688805477E-4</c:v>
                </c:pt>
                <c:pt idx="59">
                  <c:v>2.1469400842382343E-4</c:v>
                </c:pt>
                <c:pt idx="60">
                  <c:v>2.071023789061735E-4</c:v>
                </c:pt>
                <c:pt idx="61">
                  <c:v>1.9902628085396529E-4</c:v>
                </c:pt>
                <c:pt idx="62">
                  <c:v>1.9054957622753794E-4</c:v>
                </c:pt>
                <c:pt idx="63">
                  <c:v>1.8175639571430368E-4</c:v>
                </c:pt>
                <c:pt idx="64">
                  <c:v>1.727298519141039E-4</c:v>
                </c:pt>
                <c:pt idx="65">
                  <c:v>1.6355085082817456E-4</c:v>
                </c:pt>
                <c:pt idx="66">
                  <c:v>1.5429702181045943E-4</c:v>
                </c:pt>
                <c:pt idx="67">
                  <c:v>1.450417816042067E-4</c:v>
                </c:pt>
                <c:pt idx="68">
                  <c:v>1.3585354343467905E-4</c:v>
                </c:pt>
                <c:pt idx="69">
                  <c:v>1.2679507752462259E-4</c:v>
                </c:pt>
                <c:pt idx="70">
                  <c:v>1.1792302499110809E-4</c:v>
                </c:pt>
                <c:pt idx="71">
                  <c:v>1.0928756299823951E-4</c:v>
                </c:pt>
                <c:pt idx="72">
                  <c:v>1.0093221538411774E-4</c:v>
                </c:pt>
                <c:pt idx="73">
                  <c:v>9.2893799830938398E-5</c:v>
                </c:pt>
                <c:pt idx="74">
                  <c:v>8.5202500056760514E-5</c:v>
                </c:pt>
                <c:pt idx="75">
                  <c:v>7.7882049503415985E-5</c:v>
                </c:pt>
                <c:pt idx="76">
                  <c:v>7.0950011580648797E-5</c:v>
                </c:pt>
                <c:pt idx="77">
                  <c:v>6.4418140683966611E-5</c:v>
                </c:pt>
                <c:pt idx="78">
                  <c:v>5.8292807896789585E-5</c:v>
                </c:pt>
                <c:pt idx="79">
                  <c:v>5.2575475465558964E-5</c:v>
                </c:pt>
                <c:pt idx="80">
                  <c:v>4.7263204737793977E-5</c:v>
                </c:pt>
                <c:pt idx="81">
                  <c:v>4.2349183208676017E-5</c:v>
                </c:pt>
                <c:pt idx="82">
                  <c:v>3.7823257558838732E-5</c:v>
                </c:pt>
                <c:pt idx="83">
                  <c:v>3.367246101140025E-5</c:v>
                </c:pt>
                <c:pt idx="84">
                  <c:v>2.9881524918952313E-5</c:v>
                </c:pt>
                <c:pt idx="85">
                  <c:v>2.6433366144915303E-5</c:v>
                </c:pt>
                <c:pt idx="86">
                  <c:v>2.3309543468623779E-5</c:v>
                </c:pt>
                <c:pt idx="87">
                  <c:v>2.0490677867724103E-5</c:v>
                </c:pt>
                <c:pt idx="88">
                  <c:v>1.7956833071637839E-5</c:v>
                </c:pt>
                <c:pt idx="89">
                  <c:v>1.5687854201581488E-5</c:v>
                </c:pt>
                <c:pt idx="90">
                  <c:v>1.3663663590514597E-5</c:v>
                </c:pt>
                <c:pt idx="91">
                  <c:v>1.186451399347328E-5</c:v>
                </c:pt>
                <c:pt idx="92">
                  <c:v>1.0271200345923959E-5</c:v>
                </c:pt>
                <c:pt idx="93">
                  <c:v>8.8652320029109036E-6</c:v>
                </c:pt>
                <c:pt idx="94">
                  <c:v>7.6289679986301581E-6</c:v>
                </c:pt>
                <c:pt idx="95">
                  <c:v>6.5457183132964214E-6</c:v>
                </c:pt>
                <c:pt idx="96">
                  <c:v>5.5998144341618585E-6</c:v>
                </c:pt>
                <c:pt idx="97">
                  <c:v>4.7766526654023306E-6</c:v>
                </c:pt>
                <c:pt idx="98">
                  <c:v>4.062713694131418E-6</c:v>
                </c:pt>
                <c:pt idx="99">
                  <c:v>3.4455618746918341E-6</c:v>
                </c:pt>
                <c:pt idx="100">
                  <c:v>2.9138275683663274E-6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14-4E8D-A4AD-A9416A3975F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Greeks!$U$12:$U$112</c:f>
              <c:numCache>
                <c:formatCode>General</c:formatCode>
                <c:ptCount val="101"/>
                <c:pt idx="0">
                  <c:v>2.7889872318360669E-5</c:v>
                </c:pt>
                <c:pt idx="1">
                  <c:v>3.2449014022510089E-5</c:v>
                </c:pt>
                <c:pt idx="2">
                  <c:v>3.7538808003832616E-5</c:v>
                </c:pt>
                <c:pt idx="3">
                  <c:v>4.318212173374935E-5</c:v>
                </c:pt>
                <c:pt idx="4">
                  <c:v>4.9396061738107695E-5</c:v>
                </c:pt>
                <c:pt idx="5">
                  <c:v>5.6190854128174013E-5</c:v>
                </c:pt>
                <c:pt idx="6">
                  <c:v>6.3568770526348698E-5</c:v>
                </c:pt>
                <c:pt idx="7">
                  <c:v>7.1523138673800863E-5</c:v>
                </c:pt>
                <c:pt idx="8">
                  <c:v>8.0037478106232684E-5</c:v>
                </c:pt>
                <c:pt idx="9">
                  <c:v>8.9084800804502262E-5</c:v>
                </c:pt>
                <c:pt idx="10">
                  <c:v>9.8627114545877574E-5</c:v>
                </c:pt>
                <c:pt idx="11">
                  <c:v>1.0861516275397192E-4</c:v>
                </c:pt>
                <c:pt idx="12">
                  <c:v>1.1898842901147772E-4</c:v>
                </c:pt>
                <c:pt idx="13">
                  <c:v>1.2967542719029642E-4</c:v>
                </c:pt>
                <c:pt idx="14">
                  <c:v>1.4059428958752341E-4</c:v>
                </c:pt>
                <c:pt idx="15">
                  <c:v>1.5165365583390817E-4</c:v>
                </c:pt>
                <c:pt idx="16">
                  <c:v>1.6275385503426615E-4</c:v>
                </c:pt>
                <c:pt idx="17">
                  <c:v>1.7378836303043218E-4</c:v>
                </c:pt>
                <c:pt idx="18">
                  <c:v>1.8464550630222217E-4</c:v>
                </c:pt>
                <c:pt idx="19">
                  <c:v>1.9521037430536591E-4</c:v>
                </c:pt>
                <c:pt idx="20">
                  <c:v>2.0536689343635735E-4</c:v>
                </c:pt>
                <c:pt idx="21">
                  <c:v>2.1500000872185965E-4</c:v>
                </c:pt>
                <c:pt idx="22">
                  <c:v>2.2399791410130724E-4</c:v>
                </c:pt>
                <c:pt idx="23">
                  <c:v>2.3225426907033526E-4</c:v>
                </c:pt>
                <c:pt idx="24">
                  <c:v>2.3967033864779274E-4</c:v>
                </c:pt>
                <c:pt idx="25">
                  <c:v>2.4615699518182961E-4</c:v>
                </c:pt>
                <c:pt idx="26">
                  <c:v>2.516365243727888E-4</c:v>
                </c:pt>
                <c:pt idx="27">
                  <c:v>2.5604418390664233E-4</c:v>
                </c:pt>
                <c:pt idx="28">
                  <c:v>2.5932947100803291E-4</c:v>
                </c:pt>
                <c:pt idx="29">
                  <c:v>2.6145706469710058E-4</c:v>
                </c:pt>
                <c:pt idx="30">
                  <c:v>2.6240741916295184E-4</c:v>
                </c:pt>
                <c:pt idx="31">
                  <c:v>2.6217699599748737E-4</c:v>
                </c:pt>
                <c:pt idx="32">
                  <c:v>2.6077813459321226E-4</c:v>
                </c:pt>
                <c:pt idx="33">
                  <c:v>2.5823857132673857E-4</c:v>
                </c:pt>
                <c:pt idx="34">
                  <c:v>2.5460062878023763E-4</c:v>
                </c:pt>
                <c:pt idx="35">
                  <c:v>2.4992010579642841E-4</c:v>
                </c:pt>
                <c:pt idx="36">
                  <c:v>2.4426490728253952E-4</c:v>
                </c:pt>
                <c:pt idx="37">
                  <c:v>2.3771345911556725E-4</c:v>
                </c:pt>
                <c:pt idx="38">
                  <c:v>2.3035295808101095E-4</c:v>
                </c:pt>
                <c:pt idx="39">
                  <c:v>2.222775094151457E-4</c:v>
                </c:pt>
                <c:pt idx="40">
                  <c:v>2.1358620521987911E-4</c:v>
                </c:pt>
                <c:pt idx="41">
                  <c:v>2.0438119586496981E-4</c:v>
                </c:pt>
                <c:pt idx="42">
                  <c:v>1.9476580364356213E-4</c:v>
                </c:pt>
                <c:pt idx="43">
                  <c:v>1.8484272362310721E-4</c:v>
                </c:pt>
                <c:pt idx="44">
                  <c:v>1.7471235110040232E-4</c:v>
                </c:pt>
                <c:pt idx="45">
                  <c:v>1.6447126862276695E-4</c:v>
                </c:pt>
                <c:pt idx="46">
                  <c:v>1.5421091848784663E-4</c:v>
                </c:pt>
                <c:pt idx="47">
                  <c:v>1.440164792919651E-4</c:v>
                </c:pt>
                <c:pt idx="48">
                  <c:v>1.3396595775636786E-4</c:v>
                </c:pt>
                <c:pt idx="49">
                  <c:v>1.2412949999064009E-4</c:v>
                </c:pt>
                <c:pt idx="50">
                  <c:v>1.1456891978544845E-4</c:v>
                </c:pt>
                <c:pt idx="51">
                  <c:v>1.0533743565228342E-4</c:v>
                </c:pt>
                <c:pt idx="52">
                  <c:v>9.6479603288985373E-5</c:v>
                </c:pt>
                <c:pt idx="53">
                  <c:v>8.803142604133372E-5</c:v>
                </c:pt>
                <c:pt idx="54">
                  <c:v>8.0020622800725606E-5</c:v>
                </c:pt>
                <c:pt idx="55">
                  <c:v>7.2467030630034841E-5</c:v>
                </c:pt>
                <c:pt idx="56">
                  <c:v>6.5383118209246191E-5</c:v>
                </c:pt>
                <c:pt idx="57">
                  <c:v>5.877458587182015E-5</c:v>
                </c:pt>
                <c:pt idx="58">
                  <c:v>5.2641028468409602E-5</c:v>
                </c:pt>
                <c:pt idx="59">
                  <c:v>4.6976638434331679E-5</c:v>
                </c:pt>
                <c:pt idx="60">
                  <c:v>4.1770928127349235E-5</c:v>
                </c:pt>
                <c:pt idx="61">
                  <c:v>3.7009452614197225E-5</c:v>
                </c:pt>
                <c:pt idx="62">
                  <c:v>3.2674516490531E-5</c:v>
                </c:pt>
                <c:pt idx="63">
                  <c:v>2.874585089835413E-5</c:v>
                </c:pt>
                <c:pt idx="64">
                  <c:v>2.5201249546853933E-5</c:v>
                </c:pt>
                <c:pt idx="65">
                  <c:v>2.2017155149561465E-5</c:v>
                </c:pt>
                <c:pt idx="66">
                  <c:v>1.9169190181054663E-5</c:v>
                </c:pt>
                <c:pt idx="67">
                  <c:v>1.6632628164615775E-5</c:v>
                </c:pt>
                <c:pt idx="68">
                  <c:v>1.438280377948905E-5</c:v>
                </c:pt>
                <c:pt idx="69">
                  <c:v>1.2395461889795873E-5</c:v>
                </c:pt>
                <c:pt idx="70">
                  <c:v>1.0647047128594204E-5</c:v>
                </c:pt>
                <c:pt idx="71">
                  <c:v>9.114936914949482E-6</c:v>
                </c:pt>
                <c:pt idx="72">
                  <c:v>7.777621745278099E-6</c:v>
                </c:pt>
                <c:pt idx="73">
                  <c:v>6.6148372977249101E-6</c:v>
                </c:pt>
                <c:pt idx="74">
                  <c:v>5.6076533419526645E-6</c:v>
                </c:pt>
                <c:pt idx="75">
                  <c:v>4.7385246833173861E-6</c:v>
                </c:pt>
                <c:pt idx="76">
                  <c:v>3.9913094198203419E-6</c:v>
                </c:pt>
                <c:pt idx="77">
                  <c:v>3.3512596835934651E-6</c:v>
                </c:pt>
                <c:pt idx="78">
                  <c:v>2.8049898069904313E-6</c:v>
                </c:pt>
                <c:pt idx="79">
                  <c:v>2.3404265263241789E-6</c:v>
                </c:pt>
                <c:pt idx="80">
                  <c:v>1.9467454414406595E-6</c:v>
                </c:pt>
                <c:pt idx="81">
                  <c:v>1.6142975113681672E-6</c:v>
                </c:pt>
                <c:pt idx="82">
                  <c:v>1.3345289067468246E-6</c:v>
                </c:pt>
                <c:pt idx="83">
                  <c:v>1.0998970767534589E-6</c:v>
                </c:pt>
                <c:pt idx="84">
                  <c:v>9.0378543652228309E-7</c:v>
                </c:pt>
                <c:pt idx="85">
                  <c:v>7.404186520780717E-7</c:v>
                </c:pt>
                <c:pt idx="86">
                  <c:v>6.0478010196581538E-7</c:v>
                </c:pt>
                <c:pt idx="87">
                  <c:v>4.925327337659307E-7</c:v>
                </c:pt>
                <c:pt idx="88">
                  <c:v>3.9994421283793391E-7</c:v>
                </c:pt>
                <c:pt idx="89">
                  <c:v>3.2381698124285203E-7</c:v>
                </c:pt>
                <c:pt idx="90">
                  <c:v>2.6142360652851391E-7</c:v>
                </c:pt>
                <c:pt idx="91">
                  <c:v>2.1044760132265736E-7</c:v>
                </c:pt>
                <c:pt idx="92">
                  <c:v>1.6892973292190441E-7</c:v>
                </c:pt>
                <c:pt idx="93">
                  <c:v>1.3521971409800458E-7</c:v>
                </c:pt>
                <c:pt idx="94">
                  <c:v>1.0793306857950745E-7</c:v>
                </c:pt>
                <c:pt idx="95">
                  <c:v>8.5912893340937503E-8</c:v>
                </c:pt>
                <c:pt idx="96">
                  <c:v>6.8196191168074341E-8</c:v>
                </c:pt>
                <c:pt idx="97">
                  <c:v>5.3984417318241733E-8</c:v>
                </c:pt>
                <c:pt idx="98">
                  <c:v>4.2617870034046135E-8</c:v>
                </c:pt>
                <c:pt idx="99">
                  <c:v>3.355355306385797E-8</c:v>
                </c:pt>
                <c:pt idx="100">
                  <c:v>2.6346146390487456E-8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14-4E8D-A4AD-A9416A397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vega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Greeks!$V$12:$V$112</c:f>
              <c:numCache>
                <c:formatCode>General</c:formatCode>
                <c:ptCount val="101"/>
                <c:pt idx="0">
                  <c:v>0.3084812217966747</c:v>
                </c:pt>
                <c:pt idx="1">
                  <c:v>0.43213716536880481</c:v>
                </c:pt>
                <c:pt idx="2">
                  <c:v>0.60160174603946781</c:v>
                </c:pt>
                <c:pt idx="3">
                  <c:v>0.83236339738043497</c:v>
                </c:pt>
                <c:pt idx="4">
                  <c:v>1.1446030250569563</c:v>
                </c:pt>
                <c:pt idx="5">
                  <c:v>1.5644303287526982</c:v>
                </c:pt>
                <c:pt idx="6">
                  <c:v>2.1253877013533051</c:v>
                </c:pt>
                <c:pt idx="7">
                  <c:v>2.8702627955464117</c:v>
                </c:pt>
                <c:pt idx="8">
                  <c:v>3.8532525502472832</c:v>
                </c:pt>
                <c:pt idx="9">
                  <c:v>5.142521849300465</c:v>
                </c:pt>
                <c:pt idx="10">
                  <c:v>6.8231986131070084</c:v>
                </c:pt>
                <c:pt idx="11">
                  <c:v>9.0008435354271477</c:v>
                </c:pt>
                <c:pt idx="12">
                  <c:v>11.805426389880637</c:v>
                </c:pt>
                <c:pt idx="13">
                  <c:v>15.395831366000397</c:v>
                </c:pt>
                <c:pt idx="14">
                  <c:v>19.964900809812008</c:v>
                </c:pt>
                <c:pt idx="15">
                  <c:v>25.745009664669951</c:v>
                </c:pt>
                <c:pt idx="16">
                  <c:v>33.014141569128483</c:v>
                </c:pt>
                <c:pt idx="17">
                  <c:v>42.102411856285897</c:v>
                </c:pt>
                <c:pt idx="18">
                  <c:v>53.398952695546271</c:v>
                </c:pt>
                <c:pt idx="19">
                  <c:v>67.359041643946483</c:v>
                </c:pt>
                <c:pt idx="20">
                  <c:v>84.511317527948208</c:v>
                </c:pt>
                <c:pt idx="21">
                  <c:v>105.46488776274418</c:v>
                </c:pt>
                <c:pt idx="22">
                  <c:v>130.91609016522096</c:v>
                </c:pt>
                <c:pt idx="23">
                  <c:v>161.65463158757416</c:v>
                </c:pt>
                <c:pt idx="24">
                  <c:v>198.56878716267511</c:v>
                </c:pt>
                <c:pt idx="25">
                  <c:v>242.64930975618313</c:v>
                </c:pt>
                <c:pt idx="26">
                  <c:v>294.99167172464797</c:v>
                </c:pt>
                <c:pt idx="27">
                  <c:v>356.79624277360017</c:v>
                </c:pt>
                <c:pt idx="28">
                  <c:v>429.36600110687453</c:v>
                </c:pt>
                <c:pt idx="29">
                  <c:v>514.10138256338712</c:v>
                </c:pt>
                <c:pt idx="30">
                  <c:v>612.49189620677566</c:v>
                </c:pt>
                <c:pt idx="31">
                  <c:v>726.10417661926056</c:v>
                </c:pt>
                <c:pt idx="32">
                  <c:v>856.56620414928329</c:v>
                </c:pt>
                <c:pt idx="33">
                  <c:v>1005.5475050634783</c:v>
                </c:pt>
                <c:pt idx="34">
                  <c:v>1174.735243612773</c:v>
                </c:pt>
                <c:pt idx="35">
                  <c:v>1365.8062361585767</c:v>
                </c:pt>
                <c:pt idx="36">
                  <c:v>1580.3950514348319</c:v>
                </c:pt>
                <c:pt idx="37">
                  <c:v>1820.0585074416074</c:v>
                </c:pt>
                <c:pt idx="38">
                  <c:v>2086.2370300840748</c:v>
                </c:pt>
                <c:pt idx="39">
                  <c:v>2380.2134963037283</c:v>
                </c:pt>
                <c:pt idx="40">
                  <c:v>2703.0703391609059</c:v>
                </c:pt>
                <c:pt idx="41">
                  <c:v>3055.6458376496603</c:v>
                </c:pt>
                <c:pt idx="42">
                  <c:v>3438.4906431976656</c:v>
                </c:pt>
                <c:pt idx="43">
                  <c:v>3851.8257010764441</c:v>
                </c:pt>
                <c:pt idx="44">
                  <c:v>4295.5028019081592</c:v>
                </c:pt>
                <c:pt idx="45">
                  <c:v>4768.9690403532795</c:v>
                </c:pt>
                <c:pt idx="46">
                  <c:v>5271.2364601496756</c:v>
                </c:pt>
                <c:pt idx="47">
                  <c:v>5800.8581234950861</c:v>
                </c:pt>
                <c:pt idx="48">
                  <c:v>6355.9117564255603</c:v>
                </c:pt>
                <c:pt idx="49">
                  <c:v>6933.991990213568</c:v>
                </c:pt>
                <c:pt idx="50">
                  <c:v>7532.2120436366704</c:v>
                </c:pt>
                <c:pt idx="51">
                  <c:v>8147.2154759213208</c:v>
                </c:pt>
                <c:pt idx="52">
                  <c:v>8775.1983907858903</c:v>
                </c:pt>
                <c:pt idx="53">
                  <c:v>9411.9421955402013</c:v>
                </c:pt>
                <c:pt idx="54">
                  <c:v>10052.856724371757</c:v>
                </c:pt>
                <c:pt idx="55">
                  <c:v>10693.033231632748</c:v>
                </c:pt>
                <c:pt idx="56">
                  <c:v>11327.306459772699</c:v>
                </c:pt>
                <c:pt idx="57">
                  <c:v>11950.324698476981</c:v>
                </c:pt>
                <c:pt idx="58">
                  <c:v>12556.626487365775</c:v>
                </c:pt>
                <c:pt idx="59">
                  <c:v>13140.722384439172</c:v>
                </c:pt>
                <c:pt idx="60">
                  <c:v>13697.180035390675</c:v>
                </c:pt>
                <c:pt idx="61">
                  <c:v>14220.710642524018</c:v>
                </c:pt>
                <c:pt idx="62">
                  <c:v>14706.254852028222</c:v>
                </c:pt>
                <c:pt idx="63">
                  <c:v>15149.0660583931</c:v>
                </c:pt>
                <c:pt idx="64">
                  <c:v>15544.789166125012</c:v>
                </c:pt>
                <c:pt idx="65">
                  <c:v>15889.532950626699</c:v>
                </c:pt>
                <c:pt idx="66">
                  <c:v>16179.934318826765</c:v>
                </c:pt>
                <c:pt idx="67">
                  <c:v>16413.212980414366</c:v>
                </c:pt>
                <c:pt idx="68">
                  <c:v>16587.215294975598</c:v>
                </c:pt>
                <c:pt idx="69">
                  <c:v>16700.446349988284</c:v>
                </c:pt>
                <c:pt idx="70">
                  <c:v>16752.089639362846</c:v>
                </c:pt>
                <c:pt idx="71">
                  <c:v>16742.014041126105</c:v>
                </c:pt>
                <c:pt idx="72">
                  <c:v>16670.768124744496</c:v>
                </c:pt>
                <c:pt idx="73">
                  <c:v>16539.562142455408</c:v>
                </c:pt>
                <c:pt idx="74">
                  <c:v>16350.238364407645</c:v>
                </c:pt>
                <c:pt idx="75">
                  <c:v>16105.230694994185</c:v>
                </c:pt>
                <c:pt idx="76">
                  <c:v>15807.514749420203</c:v>
                </c:pt>
                <c:pt idx="77">
                  <c:v>15460.549768819126</c:v>
                </c:pt>
                <c:pt idx="78">
                  <c:v>15068.213904427968</c:v>
                </c:pt>
                <c:pt idx="79">
                  <c:v>14634.734503667054</c:v>
                </c:pt>
                <c:pt idx="80">
                  <c:v>14164.615082542841</c:v>
                </c:pt>
                <c:pt idx="81">
                  <c:v>13662.560670543751</c:v>
                </c:pt>
                <c:pt idx="82">
                  <c:v>13133.40316875449</c:v>
                </c:pt>
                <c:pt idx="83">
                  <c:v>12582.028273393136</c:v>
                </c:pt>
                <c:pt idx="84">
                  <c:v>12013.305390725813</c:v>
                </c:pt>
                <c:pt idx="85">
                  <c:v>11432.021811644832</c:v>
                </c:pt>
                <c:pt idx="86">
                  <c:v>10842.82223205439</c:v>
                </c:pt>
                <c:pt idx="87">
                  <c:v>10250.154505884469</c:v>
                </c:pt>
                <c:pt idx="88">
                  <c:v>9658.2223083778554</c:v>
                </c:pt>
                <c:pt idx="89">
                  <c:v>9070.9451753626381</c:v>
                </c:pt>
                <c:pt idx="90">
                  <c:v>8491.9261761477392</c:v>
                </c:pt>
                <c:pt idx="91">
                  <c:v>7924.4272794024637</c:v>
                </c:pt>
                <c:pt idx="92">
                  <c:v>7371.3522879947313</c:v>
                </c:pt>
                <c:pt idx="93">
                  <c:v>6835.237054422194</c:v>
                </c:pt>
                <c:pt idx="94">
                  <c:v>6318.2465463138133</c:v>
                </c:pt>
                <c:pt idx="95">
                  <c:v>5822.1782136224483</c:v>
                </c:pt>
                <c:pt idx="96">
                  <c:v>5348.4710166901741</c:v>
                </c:pt>
                <c:pt idx="97">
                  <c:v>4898.2194075260149</c:v>
                </c:pt>
                <c:pt idx="98">
                  <c:v>4472.191514727182</c:v>
                </c:pt>
                <c:pt idx="99">
                  <c:v>4070.8507641023234</c:v>
                </c:pt>
                <c:pt idx="100">
                  <c:v>3694.3801702272522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AD-4F2B-BAAD-27C02F6F67A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Greeks!$W$12:$W$112</c:f>
              <c:numCache>
                <c:formatCode>General</c:formatCode>
                <c:ptCount val="101"/>
                <c:pt idx="0">
                  <c:v>45.188408058609511</c:v>
                </c:pt>
                <c:pt idx="1">
                  <c:v>57.824164843001768</c:v>
                </c:pt>
                <c:pt idx="2">
                  <c:v>73.552614628400192</c:v>
                </c:pt>
                <c:pt idx="3">
                  <c:v>93.006752652705984</c:v>
                </c:pt>
                <c:pt idx="4">
                  <c:v>116.91748076101288</c:v>
                </c:pt>
                <c:pt idx="5">
                  <c:v>146.12138776917195</c:v>
                </c:pt>
                <c:pt idx="6">
                  <c:v>181.56747627968073</c:v>
                </c:pt>
                <c:pt idx="7">
                  <c:v>224.32238067659347</c:v>
                </c:pt>
                <c:pt idx="8">
                  <c:v>275.57357926494149</c:v>
                </c:pt>
                <c:pt idx="9">
                  <c:v>336.63007431840003</c:v>
                </c:pt>
                <c:pt idx="10">
                  <c:v>408.92000105416622</c:v>
                </c:pt>
                <c:pt idx="11">
                  <c:v>493.98463403889525</c:v>
                </c:pt>
                <c:pt idx="12">
                  <c:v>593.46829065172403</c:v>
                </c:pt>
                <c:pt idx="13">
                  <c:v>709.10368877200733</c:v>
                </c:pt>
                <c:pt idx="14">
                  <c:v>842.69240171426463</c:v>
                </c:pt>
                <c:pt idx="15">
                  <c:v>996.08016835274077</c:v>
                </c:pt>
                <c:pt idx="16">
                  <c:v>1171.1269597527241</c:v>
                </c:pt>
                <c:pt idx="17">
                  <c:v>1369.6718733119519</c:v>
                </c:pt>
                <c:pt idx="18">
                  <c:v>1593.4931176312955</c:v>
                </c:pt>
                <c:pt idx="19">
                  <c:v>1844.2635606459157</c:v>
                </c:pt>
                <c:pt idx="20">
                  <c:v>2123.5025329411164</c:v>
                </c:pt>
                <c:pt idx="21">
                  <c:v>2432.524799242598</c:v>
                </c:pt>
                <c:pt idx="22">
                  <c:v>2772.3878242862638</c:v>
                </c:pt>
                <c:pt idx="23">
                  <c:v>3143.8386543877327</c:v>
                </c:pt>
                <c:pt idx="24">
                  <c:v>3547.2619025266681</c:v>
                </c:pt>
                <c:pt idx="25">
                  <c:v>3982.6304523870926</c:v>
                </c:pt>
                <c:pt idx="26">
                  <c:v>4449.4605761246357</c:v>
                </c:pt>
                <c:pt idx="27">
                  <c:v>4946.7731836382109</c:v>
                </c:pt>
                <c:pt idx="28">
                  <c:v>5473.062881714045</c:v>
                </c:pt>
                <c:pt idx="29">
                  <c:v>6026.2764158984564</c:v>
                </c:pt>
                <c:pt idx="30">
                  <c:v>6603.8018954414938</c:v>
                </c:pt>
                <c:pt idx="31">
                  <c:v>7202.4699642552496</c:v>
                </c:pt>
                <c:pt idx="32">
                  <c:v>7818.5677838028732</c:v>
                </c:pt>
                <c:pt idx="33">
                  <c:v>8447.8663454654452</c:v>
                </c:pt>
                <c:pt idx="34">
                  <c:v>9085.6612413400726</c:v>
                </c:pt>
                <c:pt idx="35">
                  <c:v>9726.8266071095604</c:v>
                </c:pt>
                <c:pt idx="36">
                  <c:v>10365.881523962609</c:v>
                </c:pt>
                <c:pt idx="37">
                  <c:v>10997.06774507123</c:v>
                </c:pt>
                <c:pt idx="38">
                  <c:v>11614.43721281018</c:v>
                </c:pt>
                <c:pt idx="39">
                  <c:v>12211.947472301608</c:v>
                </c:pt>
                <c:pt idx="40">
                  <c:v>12783.562780355232</c:v>
                </c:pt>
                <c:pt idx="41">
                  <c:v>13323.3584698631</c:v>
                </c:pt>
                <c:pt idx="42">
                  <c:v>13825.62596897629</c:v>
                </c:pt>
                <c:pt idx="43">
                  <c:v>14284.975799529822</c:v>
                </c:pt>
                <c:pt idx="44">
                  <c:v>14696.435894223487</c:v>
                </c:pt>
                <c:pt idx="45">
                  <c:v>15055.542677249854</c:v>
                </c:pt>
                <c:pt idx="46">
                  <c:v>15358.422544844323</c:v>
                </c:pt>
                <c:pt idx="47">
                  <c:v>15601.861653441061</c:v>
                </c:pt>
                <c:pt idx="48">
                  <c:v>15783.362263319405</c:v>
                </c:pt>
                <c:pt idx="49">
                  <c:v>15901.184281621556</c:v>
                </c:pt>
                <c:pt idx="50">
                  <c:v>15954.371085107472</c:v>
                </c:pt>
                <c:pt idx="51">
                  <c:v>15942.759163290129</c:v>
                </c:pt>
                <c:pt idx="52">
                  <c:v>15866.971589363084</c:v>
                </c:pt>
                <c:pt idx="53">
                  <c:v>15728.395782470994</c:v>
                </c:pt>
                <c:pt idx="54">
                  <c:v>15529.146454193888</c:v>
                </c:pt>
                <c:pt idx="55">
                  <c:v>15272.015020041486</c:v>
                </c:pt>
                <c:pt idx="56">
                  <c:v>14960.40709089504</c:v>
                </c:pt>
                <c:pt idx="57">
                  <c:v>14598.269929935492</c:v>
                </c:pt>
                <c:pt idx="58">
                  <c:v>14190.011960835505</c:v>
                </c:pt>
                <c:pt idx="59">
                  <c:v>13740.416539124701</c:v>
                </c:pt>
                <c:pt idx="60">
                  <c:v>13254.552249995104</c:v>
                </c:pt>
                <c:pt idx="61">
                  <c:v>12737.681974653779</c:v>
                </c:pt>
                <c:pt idx="62">
                  <c:v>12195.172878562427</c:v>
                </c:pt>
                <c:pt idx="63">
                  <c:v>11632.409325715436</c:v>
                </c:pt>
                <c:pt idx="64">
                  <c:v>11054.710522502648</c:v>
                </c:pt>
                <c:pt idx="65">
                  <c:v>10467.254453003172</c:v>
                </c:pt>
                <c:pt idx="66">
                  <c:v>9875.0093958694033</c:v>
                </c:pt>
                <c:pt idx="67">
                  <c:v>9282.6740226692291</c:v>
                </c:pt>
                <c:pt idx="68">
                  <c:v>8694.6267798194604</c:v>
                </c:pt>
                <c:pt idx="69">
                  <c:v>8114.8849615758454</c:v>
                </c:pt>
                <c:pt idx="70">
                  <c:v>7547.073599430918</c:v>
                </c:pt>
                <c:pt idx="71">
                  <c:v>6994.4040318873294</c:v>
                </c:pt>
                <c:pt idx="72">
                  <c:v>6459.6617845835362</c:v>
                </c:pt>
                <c:pt idx="73">
                  <c:v>5945.2031891800571</c:v>
                </c:pt>
                <c:pt idx="74">
                  <c:v>5452.9600036326729</c:v>
                </c:pt>
                <c:pt idx="75">
                  <c:v>4984.451168218623</c:v>
                </c:pt>
                <c:pt idx="76">
                  <c:v>4540.8007411615235</c:v>
                </c:pt>
                <c:pt idx="77">
                  <c:v>4122.7610037738623</c:v>
                </c:pt>
                <c:pt idx="78">
                  <c:v>3730.7397053945333</c:v>
                </c:pt>
                <c:pt idx="79">
                  <c:v>3364.8304297957739</c:v>
                </c:pt>
                <c:pt idx="80">
                  <c:v>3024.8451032188145</c:v>
                </c:pt>
                <c:pt idx="81">
                  <c:v>2710.3477253552651</c:v>
                </c:pt>
                <c:pt idx="82">
                  <c:v>2420.6884837656785</c:v>
                </c:pt>
                <c:pt idx="83">
                  <c:v>2155.0375047296156</c:v>
                </c:pt>
                <c:pt idx="84">
                  <c:v>1912.417594812948</c:v>
                </c:pt>
                <c:pt idx="85">
                  <c:v>1691.7354332745792</c:v>
                </c:pt>
                <c:pt idx="86">
                  <c:v>1491.8107819919219</c:v>
                </c:pt>
                <c:pt idx="87">
                  <c:v>1311.4033835343425</c:v>
                </c:pt>
                <c:pt idx="88">
                  <c:v>1149.2373165848217</c:v>
                </c:pt>
                <c:pt idx="89">
                  <c:v>1004.0226689012152</c:v>
                </c:pt>
                <c:pt idx="90">
                  <c:v>874.4744697929342</c:v>
                </c:pt>
                <c:pt idx="91">
                  <c:v>759.32889558228999</c:v>
                </c:pt>
                <c:pt idx="92">
                  <c:v>657.35682213913333</c:v>
                </c:pt>
                <c:pt idx="93">
                  <c:v>567.37484818629787</c:v>
                </c:pt>
                <c:pt idx="94">
                  <c:v>488.25395191233008</c:v>
                </c:pt>
                <c:pt idx="95">
                  <c:v>418.92597205097098</c:v>
                </c:pt>
                <c:pt idx="96">
                  <c:v>358.3881237863589</c:v>
                </c:pt>
                <c:pt idx="97">
                  <c:v>305.70577058574918</c:v>
                </c:pt>
                <c:pt idx="98">
                  <c:v>260.01367642441079</c:v>
                </c:pt>
                <c:pt idx="99">
                  <c:v>220.51595998027736</c:v>
                </c:pt>
                <c:pt idx="100">
                  <c:v>186.48496437544495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AD-4F2B-BAAD-27C02F6F67A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Greeks!$X$12:$X$112</c:f>
              <c:numCache>
                <c:formatCode>General</c:formatCode>
                <c:ptCount val="101"/>
                <c:pt idx="0">
                  <c:v>1610.9190251085124</c:v>
                </c:pt>
                <c:pt idx="1">
                  <c:v>1874.255049940183</c:v>
                </c:pt>
                <c:pt idx="2">
                  <c:v>2168.2415503013717</c:v>
                </c:pt>
                <c:pt idx="3">
                  <c:v>2494.1993513413622</c:v>
                </c:pt>
                <c:pt idx="4">
                  <c:v>2853.1165259931008</c:v>
                </c:pt>
                <c:pt idx="5">
                  <c:v>3245.5837344433312</c:v>
                </c:pt>
                <c:pt idx="6">
                  <c:v>3671.7321856019012</c:v>
                </c:pt>
                <c:pt idx="7">
                  <c:v>4131.1764897987377</c:v>
                </c:pt>
                <c:pt idx="8">
                  <c:v>4622.9647354159997</c:v>
                </c:pt>
                <c:pt idx="9">
                  <c:v>5145.538094468051</c:v>
                </c:pt>
                <c:pt idx="10">
                  <c:v>5696.702136169888</c:v>
                </c:pt>
                <c:pt idx="11">
                  <c:v>6273.6118006694187</c:v>
                </c:pt>
                <c:pt idx="12">
                  <c:v>6872.771659702953</c:v>
                </c:pt>
                <c:pt idx="13">
                  <c:v>7490.0526745115212</c:v>
                </c:pt>
                <c:pt idx="14">
                  <c:v>8120.7261665753522</c:v>
                </c:pt>
                <c:pt idx="15">
                  <c:v>8759.5151609665372</c:v>
                </c:pt>
                <c:pt idx="16">
                  <c:v>9400.6626667792134</c:v>
                </c:pt>
                <c:pt idx="17">
                  <c:v>10038.015848637764</c:v>
                </c:pt>
                <c:pt idx="18">
                  <c:v>10665.124444016352</c:v>
                </c:pt>
                <c:pt idx="19">
                  <c:v>11275.351219877935</c:v>
                </c:pt>
                <c:pt idx="20">
                  <c:v>11861.991764884</c:v>
                </c:pt>
                <c:pt idx="21">
                  <c:v>12418.400503774614</c:v>
                </c:pt>
                <c:pt idx="22">
                  <c:v>12938.119518491505</c:v>
                </c:pt>
                <c:pt idx="23">
                  <c:v>13415.006581502565</c:v>
                </c:pt>
                <c:pt idx="24">
                  <c:v>13843.358760296509</c:v>
                </c:pt>
                <c:pt idx="25">
                  <c:v>14218.028041702479</c:v>
                </c:pt>
                <c:pt idx="26">
                  <c:v>14534.525647772283</c:v>
                </c:pt>
                <c:pt idx="27">
                  <c:v>14789.112062447661</c:v>
                </c:pt>
                <c:pt idx="28">
                  <c:v>14978.870245423983</c:v>
                </c:pt>
                <c:pt idx="29">
                  <c:v>15101.76005690453</c:v>
                </c:pt>
                <c:pt idx="30">
                  <c:v>15156.6525308521</c:v>
                </c:pt>
                <c:pt idx="31">
                  <c:v>15143.343288814871</c:v>
                </c:pt>
                <c:pt idx="32">
                  <c:v>15062.545054103941</c:v>
                </c:pt>
                <c:pt idx="33">
                  <c:v>14915.85987983242</c:v>
                </c:pt>
                <c:pt idx="34">
                  <c:v>14705.732318346525</c:v>
                </c:pt>
                <c:pt idx="35">
                  <c:v>14435.385310801705</c:v>
                </c:pt>
                <c:pt idx="36">
                  <c:v>14108.741044639482</c:v>
                </c:pt>
                <c:pt idx="37">
                  <c:v>13730.329398515165</c:v>
                </c:pt>
                <c:pt idx="38">
                  <c:v>13305.186858759193</c:v>
                </c:pt>
                <c:pt idx="39">
                  <c:v>12838.748943818815</c:v>
                </c:pt>
                <c:pt idx="40">
                  <c:v>12336.739213500217</c:v>
                </c:pt>
                <c:pt idx="41">
                  <c:v>11805.057873160657</c:v>
                </c:pt>
                <c:pt idx="42">
                  <c:v>11249.672818452149</c:v>
                </c:pt>
                <c:pt idx="43">
                  <c:v>10676.515716470672</c:v>
                </c:pt>
                <c:pt idx="44">
                  <c:v>10091.385399559238</c:v>
                </c:pt>
                <c:pt idx="45">
                  <c:v>9499.8604756510194</c:v>
                </c:pt>
                <c:pt idx="46">
                  <c:v>8907.222651858021</c:v>
                </c:pt>
                <c:pt idx="47">
                  <c:v>8318.3918439039044</c:v>
                </c:pt>
                <c:pt idx="48">
                  <c:v>7737.8737200078085</c:v>
                </c:pt>
                <c:pt idx="49">
                  <c:v>7169.7199194593722</c:v>
                </c:pt>
                <c:pt idx="50">
                  <c:v>6617.5008068075031</c:v>
                </c:pt>
                <c:pt idx="51">
                  <c:v>6084.2902832758909</c:v>
                </c:pt>
                <c:pt idx="52">
                  <c:v>5572.6618859717946</c:v>
                </c:pt>
                <c:pt idx="53">
                  <c:v>5084.6951681474357</c:v>
                </c:pt>
                <c:pt idx="54">
                  <c:v>4621.9911729699106</c:v>
                </c:pt>
                <c:pt idx="55">
                  <c:v>4185.695689190813</c:v>
                </c:pt>
                <c:pt idx="56">
                  <c:v>3776.52890776606</c:v>
                </c:pt>
                <c:pt idx="57">
                  <c:v>3394.8200799563319</c:v>
                </c:pt>
                <c:pt idx="58">
                  <c:v>3040.5458043353387</c:v>
                </c:pt>
                <c:pt idx="59">
                  <c:v>2713.3706359669977</c:v>
                </c:pt>
                <c:pt idx="60">
                  <c:v>2412.6888086356921</c:v>
                </c:pt>
                <c:pt idx="61">
                  <c:v>2137.6659829960317</c:v>
                </c:pt>
                <c:pt idx="62">
                  <c:v>1887.2800724930707</c:v>
                </c:pt>
                <c:pt idx="63">
                  <c:v>1660.3603478889345</c:v>
                </c:pt>
                <c:pt idx="64">
                  <c:v>1455.6241738262831</c:v>
                </c:pt>
                <c:pt idx="65">
                  <c:v>1271.7108814386702</c:v>
                </c:pt>
                <c:pt idx="66">
                  <c:v>1107.2124248577175</c:v>
                </c:pt>
                <c:pt idx="67">
                  <c:v>960.70060278820722</c:v>
                </c:pt>
                <c:pt idx="68">
                  <c:v>830.75074630328754</c:v>
                </c:pt>
                <c:pt idx="69">
                  <c:v>715.96187875460964</c:v>
                </c:pt>
                <c:pt idx="70">
                  <c:v>614.97344214760119</c:v>
                </c:pt>
                <c:pt idx="71">
                  <c:v>526.47875620748209</c:v>
                </c:pt>
                <c:pt idx="72">
                  <c:v>449.235432007263</c:v>
                </c:pt>
                <c:pt idx="73">
                  <c:v>382.07300231659082</c:v>
                </c:pt>
                <c:pt idx="74">
                  <c:v>323.89805703118594</c:v>
                </c:pt>
                <c:pt idx="75">
                  <c:v>273.69718570841223</c:v>
                </c:pt>
                <c:pt idx="76">
                  <c:v>230.53803208882294</c:v>
                </c:pt>
                <c:pt idx="77">
                  <c:v>193.56875932435855</c:v>
                </c:pt>
                <c:pt idx="78">
                  <c:v>162.01621125176732</c:v>
                </c:pt>
                <c:pt idx="79">
                  <c:v>135.18303616048459</c:v>
                </c:pt>
                <c:pt idx="80">
                  <c:v>112.4440166976125</c:v>
                </c:pt>
                <c:pt idx="81">
                  <c:v>93.241824256625335</c:v>
                </c:pt>
                <c:pt idx="82">
                  <c:v>77.082389653696595</c:v>
                </c:pt>
                <c:pt idx="83">
                  <c:v>63.53005515327979</c:v>
                </c:pt>
                <c:pt idx="84">
                  <c:v>52.202646813527075</c:v>
                </c:pt>
                <c:pt idx="85">
                  <c:v>42.766581344029426</c:v>
                </c:pt>
                <c:pt idx="86">
                  <c:v>34.932098689545498</c:v>
                </c:pt>
                <c:pt idx="87">
                  <c:v>28.44869070232016</c:v>
                </c:pt>
                <c:pt idx="88">
                  <c:v>23.100777733519063</c:v>
                </c:pt>
                <c:pt idx="89">
                  <c:v>18.703668836587131</c:v>
                </c:pt>
                <c:pt idx="90">
                  <c:v>15.099827513086963</c:v>
                </c:pt>
                <c:pt idx="91">
                  <c:v>12.15545345239669</c:v>
                </c:pt>
                <c:pt idx="92">
                  <c:v>9.7573813735691992</c:v>
                </c:pt>
                <c:pt idx="93">
                  <c:v>7.8102906863007444</c:v>
                </c:pt>
                <c:pt idx="94">
                  <c:v>6.2342140411523506</c:v>
                </c:pt>
                <c:pt idx="95">
                  <c:v>4.9623287193725503</c:v>
                </c:pt>
                <c:pt idx="96">
                  <c:v>3.9390120018679737</c:v>
                </c:pt>
                <c:pt idx="97">
                  <c:v>3.1181399443016424</c:v>
                </c:pt>
                <c:pt idx="98">
                  <c:v>2.4616081731665047</c:v>
                </c:pt>
                <c:pt idx="99">
                  <c:v>1.9380532249684363</c:v>
                </c:pt>
                <c:pt idx="100">
                  <c:v>1.5217534155145556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AD-4F2B-BAAD-27C02F6F6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Theta Call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911268349437232E-2"/>
          <c:y val="0.14472021354040282"/>
          <c:w val="0.91258872882786857"/>
          <c:h val="0.8306255763164280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Greeks!$Y$12:$Y$112</c:f>
              <c:numCache>
                <c:formatCode>General</c:formatCode>
                <c:ptCount val="101"/>
                <c:pt idx="0">
                  <c:v>-686.13164477512123</c:v>
                </c:pt>
                <c:pt idx="1">
                  <c:v>-688.08903935862759</c:v>
                </c:pt>
                <c:pt idx="2">
                  <c:v>-690.04530995391701</c:v>
                </c:pt>
                <c:pt idx="3">
                  <c:v>-692.00007158684934</c:v>
                </c:pt>
                <c:pt idx="4">
                  <c:v>-693.95282066359675</c:v>
                </c:pt>
                <c:pt idx="5">
                  <c:v>-695.90290296477895</c:v>
                </c:pt>
                <c:pt idx="6">
                  <c:v>-697.84947444118086</c:v>
                </c:pt>
                <c:pt idx="7">
                  <c:v>-699.79145361018368</c:v>
                </c:pt>
                <c:pt idx="8">
                  <c:v>-701.72746426547087</c:v>
                </c:pt>
                <c:pt idx="9">
                  <c:v>-703.65576715198586</c:v>
                </c:pt>
                <c:pt idx="10">
                  <c:v>-705.57417923426908</c:v>
                </c:pt>
                <c:pt idx="11">
                  <c:v>-707.47997921120134</c:v>
                </c:pt>
                <c:pt idx="12">
                  <c:v>-709.36979801680525</c:v>
                </c:pt>
                <c:pt idx="13">
                  <c:v>-711.23949320853649</c:v>
                </c:pt>
                <c:pt idx="14">
                  <c:v>-713.08400639476326</c:v>
                </c:pt>
                <c:pt idx="15">
                  <c:v>-714.89720320423203</c:v>
                </c:pt>
                <c:pt idx="16">
                  <c:v>-716.67169576278968</c:v>
                </c:pt>
                <c:pt idx="17">
                  <c:v>-718.39864822409197</c:v>
                </c:pt>
                <c:pt idx="18">
                  <c:v>-720.06756660506937</c:v>
                </c:pt>
                <c:pt idx="19">
                  <c:v>-721.66607500195971</c:v>
                </c:pt>
                <c:pt idx="20">
                  <c:v>-723.17968120091041</c:v>
                </c:pt>
                <c:pt idx="21">
                  <c:v>-724.59153573336164</c:v>
                </c:pt>
                <c:pt idx="22">
                  <c:v>-725.88218953752448</c:v>
                </c:pt>
                <c:pt idx="23">
                  <c:v>-727.02935654161786</c:v>
                </c:pt>
                <c:pt idx="24">
                  <c:v>-728.00768864196766</c:v>
                </c:pt>
                <c:pt idx="25">
                  <c:v>-728.78857166128182</c:v>
                </c:pt>
                <c:pt idx="26">
                  <c:v>-729.33995188392657</c:v>
                </c:pt>
                <c:pt idx="27">
                  <c:v>-729.62620361473898</c:v>
                </c:pt>
                <c:pt idx="28">
                  <c:v>-729.60804883121182</c:v>
                </c:pt>
                <c:pt idx="29">
                  <c:v>-729.24254033038187</c:v>
                </c:pt>
                <c:pt idx="30">
                  <c:v>-728.48311974842807</c:v>
                </c:pt>
                <c:pt idx="31">
                  <c:v>-727.27976139575571</c:v>
                </c:pt>
                <c:pt idx="32">
                  <c:v>-725.57921195588449</c:v>
                </c:pt>
                <c:pt idx="33">
                  <c:v>-723.32533470895555</c:v>
                </c:pt>
                <c:pt idx="34">
                  <c:v>-720.4595650434992</c:v>
                </c:pt>
                <c:pt idx="35">
                  <c:v>-716.92148161697787</c:v>
                </c:pt>
                <c:pt idx="36">
                  <c:v>-712.64949464312758</c:v>
                </c:pt>
                <c:pt idx="37">
                  <c:v>-707.5816494733516</c:v>
                </c:pt>
                <c:pt idx="38">
                  <c:v>-701.65653997648838</c:v>
                </c:pt>
                <c:pt idx="39">
                  <c:v>-694.81432230648409</c:v>
                </c:pt>
                <c:pt idx="40">
                  <c:v>-686.9978156034847</c:v>
                </c:pt>
                <c:pt idx="41">
                  <c:v>-678.15367214176081</c:v>
                </c:pt>
                <c:pt idx="42">
                  <c:v>-668.23359557295282</c:v>
                </c:pt>
                <c:pt idx="43">
                  <c:v>-657.19558237851504</c:v>
                </c:pt>
                <c:pt idx="44">
                  <c:v>-645.00515860517953</c:v>
                </c:pt>
                <c:pt idx="45">
                  <c:v>-631.63658156965948</c:v>
                </c:pt>
                <c:pt idx="46">
                  <c:v>-617.0739746272136</c:v>
                </c:pt>
                <c:pt idx="47">
                  <c:v>-601.31236242481623</c:v>
                </c:pt>
                <c:pt idx="48">
                  <c:v>-584.35857439629683</c:v>
                </c:pt>
                <c:pt idx="49">
                  <c:v>-566.23198566132623</c:v>
                </c:pt>
                <c:pt idx="50">
                  <c:v>-546.96506698023313</c:v>
                </c:pt>
                <c:pt idx="51">
                  <c:v>-526.60371896692914</c:v>
                </c:pt>
                <c:pt idx="52">
                  <c:v>-505.20737030301711</c:v>
                </c:pt>
                <c:pt idx="53">
                  <c:v>-482.84882511473575</c:v>
                </c:pt>
                <c:pt idx="54">
                  <c:v>-459.61385081775182</c:v>
                </c:pt>
                <c:pt idx="55">
                  <c:v>-435.60050441506479</c:v>
                </c:pt>
                <c:pt idx="56">
                  <c:v>-410.91820223415516</c:v>
                </c:pt>
                <c:pt idx="57">
                  <c:v>-385.68654517570565</c:v>
                </c:pt>
                <c:pt idx="58">
                  <c:v>-360.03391847202136</c:v>
                </c:pt>
                <c:pt idx="59">
                  <c:v>-334.09589147357889</c:v>
                </c:pt>
                <c:pt idx="60">
                  <c:v>-308.01344886280208</c:v>
                </c:pt>
                <c:pt idx="61">
                  <c:v>-281.93108972200827</c:v>
                </c:pt>
                <c:pt idx="62">
                  <c:v>-255.99483487411618</c:v>
                </c:pt>
                <c:pt idx="63">
                  <c:v>-230.35018572576109</c:v>
                </c:pt>
                <c:pt idx="64">
                  <c:v>-205.14007937163802</c:v>
                </c:pt>
                <c:pt idx="65">
                  <c:v>-180.50288491427312</c:v>
                </c:pt>
                <c:pt idx="66">
                  <c:v>-156.57048481264064</c:v>
                </c:pt>
                <c:pt idx="67">
                  <c:v>-133.4664826438401</c:v>
                </c:pt>
                <c:pt idx="68">
                  <c:v>-111.30457503965232</c:v>
                </c:pt>
                <c:pt idx="69">
                  <c:v>-90.187120881384828</c:v>
                </c:pt>
                <c:pt idx="70">
                  <c:v>-70.203935276022037</c:v>
                </c:pt>
                <c:pt idx="71">
                  <c:v>-51.431329595993304</c:v>
                </c:pt>
                <c:pt idx="72">
                  <c:v>-33.931412165192398</c:v>
                </c:pt>
                <c:pt idx="73">
                  <c:v>-17.751657246295906</c:v>
                </c:pt>
                <c:pt idx="74">
                  <c:v>-2.9247430604558531</c:v>
                </c:pt>
                <c:pt idx="75">
                  <c:v>10.531347127309061</c:v>
                </c:pt>
                <c:pt idx="76">
                  <c:v>22.612973089777768</c:v>
                </c:pt>
                <c:pt idx="77">
                  <c:v>33.330252772397102</c:v>
                </c:pt>
                <c:pt idx="78">
                  <c:v>42.706267257633328</c:v>
                </c:pt>
                <c:pt idx="79">
                  <c:v>50.776082345805008</c:v>
                </c:pt>
                <c:pt idx="80">
                  <c:v>57.585616591833855</c:v>
                </c:pt>
                <c:pt idx="81">
                  <c:v>63.190387690515479</c:v>
                </c:pt>
                <c:pt idx="82">
                  <c:v>67.654170153041548</c:v>
                </c:pt>
                <c:pt idx="83">
                  <c:v>71.047597295666634</c:v>
                </c:pt>
                <c:pt idx="84">
                  <c:v>73.446739730072807</c:v>
                </c:pt>
                <c:pt idx="85">
                  <c:v>74.931690893203438</c:v>
                </c:pt>
                <c:pt idx="86">
                  <c:v>75.585187792619593</c:v>
                </c:pt>
                <c:pt idx="87">
                  <c:v>75.491292197811191</c:v>
                </c:pt>
                <c:pt idx="88">
                  <c:v>74.734154113997079</c:v>
                </c:pt>
                <c:pt idx="89">
                  <c:v>73.396875672226102</c:v>
                </c:pt>
                <c:pt idx="90">
                  <c:v>71.560489695766222</c:v>
                </c:pt>
                <c:pt idx="91">
                  <c:v>69.303063289008563</c:v>
                </c:pt>
                <c:pt idx="92">
                  <c:v>66.698932961804616</c:v>
                </c:pt>
                <c:pt idx="93">
                  <c:v>63.81807415558859</c:v>
                </c:pt>
                <c:pt idx="94">
                  <c:v>60.725604667553569</c:v>
                </c:pt>
                <c:pt idx="95">
                  <c:v>57.481418447174335</c:v>
                </c:pt>
                <c:pt idx="96">
                  <c:v>54.13994361836842</c:v>
                </c:pt>
                <c:pt idx="97">
                  <c:v>50.750016394765872</c:v>
                </c:pt>
                <c:pt idx="98">
                  <c:v>47.35486082133572</c:v>
                </c:pt>
                <c:pt idx="99">
                  <c:v>43.992162993000626</c:v>
                </c:pt>
                <c:pt idx="100">
                  <c:v>40.694227555452947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15-4E10-8C81-9272EA15116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Greeks!$Z$12:$Z$112</c:f>
              <c:numCache>
                <c:formatCode>General</c:formatCode>
                <c:ptCount val="101"/>
                <c:pt idx="0">
                  <c:v>-684.99151272132281</c:v>
                </c:pt>
                <c:pt idx="1">
                  <c:v>-686.62508016809943</c:v>
                </c:pt>
                <c:pt idx="2">
                  <c:v>-688.17661877938531</c:v>
                </c:pt>
                <c:pt idx="3">
                  <c:v>-689.62868580622512</c:v>
                </c:pt>
                <c:pt idx="4">
                  <c:v>-690.96094115881704</c:v>
                </c:pt>
                <c:pt idx="5">
                  <c:v>-692.14985577490563</c:v>
                </c:pt>
                <c:pt idx="6">
                  <c:v>-693.16843234069245</c:v>
                </c:pt>
                <c:pt idx="7">
                  <c:v>-693.98594939276518</c:v>
                </c:pt>
                <c:pt idx="8">
                  <c:v>-694.56774130119834</c:v>
                </c:pt>
                <c:pt idx="9">
                  <c:v>-694.87502789182645</c:v>
                </c:pt>
                <c:pt idx="10">
                  <c:v>-694.86480841067794</c:v>
                </c:pt>
                <c:pt idx="11">
                  <c:v>-694.48983506431796</c:v>
                </c:pt>
                <c:pt idx="12">
                  <c:v>-693.69868138794232</c:v>
                </c:pt>
                <c:pt idx="13">
                  <c:v>-692.43592010904263</c:v>
                </c:pt>
                <c:pt idx="14">
                  <c:v>-690.64242391421749</c:v>
                </c:pt>
                <c:pt idx="15">
                  <c:v>-688.25580053807005</c:v>
                </c:pt>
                <c:pt idx="16">
                  <c:v>-685.21097085195004</c:v>
                </c:pt>
                <c:pt idx="17">
                  <c:v>-681.44089514591531</c:v>
                </c:pt>
                <c:pt idx="18">
                  <c:v>-676.877448616636</c:v>
                </c:pt>
                <c:pt idx="19">
                  <c:v>-671.45244228404079</c:v>
                </c:pt>
                <c:pt idx="20">
                  <c:v>-665.09878028792423</c:v>
                </c:pt>
                <c:pt idx="21">
                  <c:v>-657.75173892875819</c:v>
                </c:pt>
                <c:pt idx="22">
                  <c:v>-649.35034711530614</c:v>
                </c:pt>
                <c:pt idx="23">
                  <c:v>-639.83884229370688</c:v>
                </c:pt>
                <c:pt idx="24">
                  <c:v>-629.16817070567947</c:v>
                </c:pt>
                <c:pt idx="25">
                  <c:v>-617.29749621219912</c:v>
                </c:pt>
                <c:pt idx="26">
                  <c:v>-604.19567817380914</c:v>
                </c:pt>
                <c:pt idx="27">
                  <c:v>-589.84267623218375</c:v>
                </c:pt>
                <c:pt idx="28">
                  <c:v>-574.23083849116733</c:v>
                </c:pt>
                <c:pt idx="29">
                  <c:v>-557.36602970726324</c:v>
                </c:pt>
                <c:pt idx="30">
                  <c:v>-539.26855777269168</c:v>
                </c:pt>
                <c:pt idx="31">
                  <c:v>-519.97386004878547</c:v>
                </c:pt>
                <c:pt idx="32">
                  <c:v>-499.53291595406489</c:v>
                </c:pt>
                <c:pt idx="33">
                  <c:v>-478.0123585290379</c:v>
                </c:pt>
                <c:pt idx="34">
                  <c:v>-455.49426531682792</c:v>
                </c:pt>
                <c:pt idx="35">
                  <c:v>-432.0756175784</c:v>
                </c:pt>
                <c:pt idx="36">
                  <c:v>-407.86742630964682</c:v>
                </c:pt>
                <c:pt idx="37">
                  <c:v>-382.99353340681341</c:v>
                </c:pt>
                <c:pt idx="38">
                  <c:v>-357.58910626848649</c:v>
                </c:pt>
                <c:pt idx="39">
                  <c:v>-331.79885374523917</c:v>
                </c:pt>
                <c:pt idx="40">
                  <c:v>-305.7750002752756</c:v>
                </c:pt>
                <c:pt idx="41">
                  <c:v>-279.67506292146805</c:v>
                </c:pt>
                <c:pt idx="42">
                  <c:v>-253.65948253660088</c:v>
                </c:pt>
                <c:pt idx="43">
                  <c:v>-227.88916516845899</c:v>
                </c:pt>
                <c:pt idx="44">
                  <c:v>-202.52299287970135</c:v>
                </c:pt>
                <c:pt idx="45">
                  <c:v>-177.71536428046454</c:v>
                </c:pt>
                <c:pt idx="46">
                  <c:v>-153.61382421556004</c:v>
                </c:pt>
                <c:pt idx="47">
                  <c:v>-130.3568392565457</c:v>
                </c:pt>
                <c:pt idx="48">
                  <c:v>-108.07177104371618</c:v>
                </c:pt>
                <c:pt idx="49">
                  <c:v>-86.873093298542415</c:v>
                </c:pt>
                <c:pt idx="50">
                  <c:v>-66.860890739068566</c:v>
                </c:pt>
                <c:pt idx="51">
                  <c:v>-48.119669484342978</c:v>
                </c:pt>
                <c:pt idx="52">
                  <c:v>-30.71749916799979</c:v>
                </c:pt>
                <c:pt idx="53">
                  <c:v>-14.705497252757766</c:v>
                </c:pt>
                <c:pt idx="54">
                  <c:v>-0.11765630558636531</c:v>
                </c:pt>
                <c:pt idx="55">
                  <c:v>13.028994397492966</c:v>
                </c:pt>
                <c:pt idx="56">
                  <c:v>24.733910301025162</c:v>
                </c:pt>
                <c:pt idx="57">
                  <c:v>35.012261197374301</c:v>
                </c:pt>
                <c:pt idx="58">
                  <c:v>43.893900854413687</c:v>
                </c:pt>
                <c:pt idx="59">
                  <c:v>51.422113757859819</c:v>
                </c:pt>
                <c:pt idx="60">
                  <c:v>57.65217995791204</c:v>
                </c:pt>
                <c:pt idx="61">
                  <c:v>62.649801403327331</c:v>
                </c:pt>
                <c:pt idx="62">
                  <c:v>66.489434070927672</c:v>
                </c:pt>
                <c:pt idx="63">
                  <c:v>69.252569722977398</c:v>
                </c:pt>
                <c:pt idx="64">
                  <c:v>71.026009364977455</c:v>
                </c:pt>
                <c:pt idx="65">
                  <c:v>71.900167587733449</c:v>
                </c:pt>
                <c:pt idx="66">
                  <c:v>71.967443145472046</c:v>
                </c:pt>
                <c:pt idx="67">
                  <c:v>71.320686551475475</c:v>
                </c:pt>
                <c:pt idx="68">
                  <c:v>70.051790379059753</c:v>
                </c:pt>
                <c:pt idx="69">
                  <c:v>68.250422553700616</c:v>
                </c:pt>
                <c:pt idx="70">
                  <c:v>66.00291741810338</c:v>
                </c:pt>
                <c:pt idx="71">
                  <c:v>63.391333936348076</c:v>
                </c:pt>
                <c:pt idx="72">
                  <c:v>60.492685244199308</c:v>
                </c:pt>
                <c:pt idx="73">
                  <c:v>57.378338992046835</c:v>
                </c:pt>
                <c:pt idx="74">
                  <c:v>54.113583677266455</c:v>
                </c:pt>
                <c:pt idx="75">
                  <c:v>50.757352506059718</c:v>
                </c:pt>
                <c:pt idx="76">
                  <c:v>47.362093312769339</c:v>
                </c:pt>
                <c:pt idx="77">
                  <c:v>43.973770720166101</c:v>
                </c:pt>
                <c:pt idx="78">
                  <c:v>40.631985043871573</c:v>
                </c:pt>
                <c:pt idx="79">
                  <c:v>37.370191401569741</c:v>
                </c:pt>
                <c:pt idx="80">
                  <c:v>34.216002037522372</c:v>
                </c:pt>
                <c:pt idx="81">
                  <c:v>31.19155495478784</c:v>
                </c:pt>
                <c:pt idx="82">
                  <c:v>28.313932490428016</c:v>
                </c:pt>
                <c:pt idx="83">
                  <c:v>25.595614395302277</c:v>
                </c:pt>
                <c:pt idx="84">
                  <c:v>23.044951209514245</c:v>
                </c:pt>
                <c:pt idx="85">
                  <c:v>20.66664517757274</c:v>
                </c:pt>
                <c:pt idx="86">
                  <c:v>18.462227547834971</c:v>
                </c:pt>
                <c:pt idx="87">
                  <c:v>16.430522778654762</c:v>
                </c:pt>
                <c:pt idx="88">
                  <c:v>14.568091866374061</c:v>
                </c:pt>
                <c:pt idx="89">
                  <c:v>12.869648664150105</c:v>
                </c:pt>
                <c:pt idx="90">
                  <c:v>11.328444631359277</c:v>
                </c:pt>
                <c:pt idx="91">
                  <c:v>9.9366189063010779</c:v>
                </c:pt>
                <c:pt idx="92">
                  <c:v>8.685511904834426</c:v>
                </c:pt>
                <c:pt idx="93">
                  <c:v>7.5659417979067296</c:v>
                </c:pt>
                <c:pt idx="94">
                  <c:v>6.5684442030919623</c:v>
                </c:pt>
                <c:pt idx="95">
                  <c:v>5.6834762376188639</c:v>
                </c:pt>
                <c:pt idx="96">
                  <c:v>4.9015867271399749</c:v>
                </c:pt>
                <c:pt idx="97">
                  <c:v>4.213554854565583</c:v>
                </c:pt>
                <c:pt idx="98">
                  <c:v>3.6104998791265714</c:v>
                </c:pt>
                <c:pt idx="99">
                  <c:v>3.0839647723871861</c:v>
                </c:pt>
                <c:pt idx="100">
                  <c:v>2.6259767216956278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15-4E10-8C81-9272EA15116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Greeks!$AA$12:$AA$112</c:f>
              <c:numCache>
                <c:formatCode>General</c:formatCode>
                <c:ptCount val="101"/>
                <c:pt idx="0">
                  <c:v>-640.96704982457538</c:v>
                </c:pt>
                <c:pt idx="1">
                  <c:v>-635.13447714323468</c:v>
                </c:pt>
                <c:pt idx="2">
                  <c:v>-628.29173043419223</c:v>
                </c:pt>
                <c:pt idx="3">
                  <c:v>-620.36899683985746</c:v>
                </c:pt>
                <c:pt idx="4">
                  <c:v>-611.30172656783691</c:v>
                </c:pt>
                <c:pt idx="5">
                  <c:v>-601.03245464223733</c:v>
                </c:pt>
                <c:pt idx="6">
                  <c:v>-589.51265370190094</c:v>
                </c:pt>
                <c:pt idx="7">
                  <c:v>-576.70456599152999</c:v>
                </c:pt>
                <c:pt idx="8">
                  <c:v>-562.58295829710653</c:v>
                </c:pt>
                <c:pt idx="9">
                  <c:v>-547.13674104227107</c:v>
                </c:pt>
                <c:pt idx="10">
                  <c:v>-530.37039236126179</c:v>
                </c:pt>
                <c:pt idx="11">
                  <c:v>-512.30512988405701</c:v>
                </c:pt>
                <c:pt idx="12">
                  <c:v>-492.97977729570982</c:v>
                </c:pt>
                <c:pt idx="13">
                  <c:v>-472.4512794353094</c:v>
                </c:pt>
                <c:pt idx="14">
                  <c:v>-450.79482863247421</c:v>
                </c:pt>
                <c:pt idx="15">
                  <c:v>-428.10357587445026</c:v>
                </c:pt>
                <c:pt idx="16">
                  <c:v>-404.48791287968947</c:v>
                </c:pt>
                <c:pt idx="17">
                  <c:v>-380.0743247546701</c:v>
                </c:pt>
                <c:pt idx="18">
                  <c:v>-355.00382708832672</c:v>
                </c:pt>
                <c:pt idx="19">
                  <c:v>-329.43001550428903</c:v>
                </c:pt>
                <c:pt idx="20">
                  <c:v>-303.51676924095148</c:v>
                </c:pt>
                <c:pt idx="21">
                  <c:v>-277.43566267289384</c:v>
                </c:pt>
                <c:pt idx="22">
                  <c:v>-251.36314927984154</c:v>
                </c:pt>
                <c:pt idx="23">
                  <c:v>-225.47759094121488</c:v>
                </c:pt>
                <c:pt idx="24">
                  <c:v>-199.95621121366173</c:v>
                </c:pt>
                <c:pt idx="25">
                  <c:v>-174.97205418336614</c:v>
                </c:pt>
                <c:pt idx="26">
                  <c:v>-150.69103045186995</c:v>
                </c:pt>
                <c:pt idx="27">
                  <c:v>-127.26912882813366</c:v>
                </c:pt>
                <c:pt idx="28">
                  <c:v>-104.84986650869229</c:v>
                </c:pt>
                <c:pt idx="29">
                  <c:v>-83.562042204841475</c:v>
                </c:pt>
                <c:pt idx="30">
                  <c:v>-63.517846202115209</c:v>
                </c:pt>
                <c:pt idx="31">
                  <c:v>-44.811369181147029</c:v>
                </c:pt>
                <c:pt idx="32">
                  <c:v>-27.517538320348535</c:v>
                </c:pt>
                <c:pt idx="33">
                  <c:v>-11.691495303044746</c:v>
                </c:pt>
                <c:pt idx="34">
                  <c:v>2.6315830663779138</c:v>
                </c:pt>
                <c:pt idx="35">
                  <c:v>15.436234325157216</c:v>
                </c:pt>
                <c:pt idx="36">
                  <c:v>26.726054949588303</c:v>
                </c:pt>
                <c:pt idx="37">
                  <c:v>36.522676057446432</c:v>
                </c:pt>
                <c:pt idx="38">
                  <c:v>44.864415302046268</c:v>
                </c:pt>
                <c:pt idx="39">
                  <c:v>51.804657115874193</c:v>
                </c:pt>
                <c:pt idx="40">
                  <c:v>57.410018342760765</c:v>
                </c:pt>
                <c:pt idx="41">
                  <c:v>61.758358945344355</c:v>
                </c:pt>
                <c:pt idx="42">
                  <c:v>64.936697943133936</c:v>
                </c:pt>
                <c:pt idx="43">
                  <c:v>67.03909316687799</c:v>
                </c:pt>
                <c:pt idx="44">
                  <c:v>68.164540022220024</c:v>
                </c:pt>
                <c:pt idx="45">
                  <c:v>68.414939512741668</c:v>
                </c:pt>
                <c:pt idx="46">
                  <c:v>67.893179593031135</c:v>
                </c:pt>
                <c:pt idx="47">
                  <c:v>66.701366842773453</c:v>
                </c:pt>
                <c:pt idx="48">
                  <c:v>64.93923781499079</c:v>
                </c:pt>
                <c:pt idx="49">
                  <c:v>62.702771547198225</c:v>
                </c:pt>
                <c:pt idx="50">
                  <c:v>60.083016941158021</c:v>
                </c:pt>
                <c:pt idx="51">
                  <c:v>57.165141287842118</c:v>
                </c:pt>
                <c:pt idx="52">
                  <c:v>54.02769936859719</c:v>
                </c:pt>
                <c:pt idx="53">
                  <c:v>50.742116482312333</c:v>
                </c:pt>
                <c:pt idx="54">
                  <c:v>47.372373561742549</c:v>
                </c:pt>
                <c:pt idx="55">
                  <c:v>43.974878329740541</c:v>
                </c:pt>
                <c:pt idx="56">
                  <c:v>40.598503239891862</c:v>
                </c:pt>
                <c:pt idx="57">
                  <c:v>37.284768734684917</c:v>
                </c:pt>
                <c:pt idx="58">
                  <c:v>34.068149089428331</c:v>
                </c:pt>
                <c:pt idx="59">
                  <c:v>30.976477712976788</c:v>
                </c:pt>
                <c:pt idx="60">
                  <c:v>28.031429145422177</c:v>
                </c:pt>
                <c:pt idx="61">
                  <c:v>25.24905601126456</c:v>
                </c:pt>
                <c:pt idx="62">
                  <c:v>22.640360728893704</c:v>
                </c:pt>
                <c:pt idx="63">
                  <c:v>20.211883716166184</c:v>
                </c:pt>
                <c:pt idx="64">
                  <c:v>17.966292043846749</c:v>
                </c:pt>
                <c:pt idx="65">
                  <c:v>15.902954858167165</c:v>
                </c:pt>
                <c:pt idx="66">
                  <c:v>14.018494316967374</c:v>
                </c:pt>
                <c:pt idx="67">
                  <c:v>12.307303171100015</c:v>
                </c:pt>
                <c:pt idx="68">
                  <c:v>10.762022399791315</c:v>
                </c:pt>
                <c:pt idx="69">
                  <c:v>9.3739744172763615</c:v>
                </c:pt>
                <c:pt idx="70">
                  <c:v>8.133549265780962</c:v>
                </c:pt>
                <c:pt idx="71">
                  <c:v>7.0305428691238046</c:v>
                </c:pt>
                <c:pt idx="72">
                  <c:v>6.0544478275588638</c:v>
                </c:pt>
                <c:pt idx="73">
                  <c:v>5.1946983852985982</c:v>
                </c:pt>
                <c:pt idx="74">
                  <c:v>4.4408721044810573</c:v>
                </c:pt>
                <c:pt idx="75">
                  <c:v>3.7828514478803417</c:v>
                </c:pt>
                <c:pt idx="76">
                  <c:v>3.2109489278401115</c:v>
                </c:pt>
                <c:pt idx="77">
                  <c:v>2.7159997450305449</c:v>
                </c:pt>
                <c:pt idx="78">
                  <c:v>2.2894259441877702</c:v>
                </c:pt>
                <c:pt idx="79">
                  <c:v>1.9232760822439172</c:v>
                </c:pt>
                <c:pt idx="80">
                  <c:v>1.6102442640091721</c:v>
                </c:pt>
                <c:pt idx="81">
                  <c:v>1.3436721772547213</c:v>
                </c:pt>
                <c:pt idx="82">
                  <c:v>1.1175374760093439</c:v>
                </c:pt>
                <c:pt idx="83">
                  <c:v>0.92643153890761454</c:v>
                </c:pt>
                <c:pt idx="84">
                  <c:v>0.76552928646709195</c:v>
                </c:pt>
                <c:pt idx="85">
                  <c:v>0.6305533922459422</c:v>
                </c:pt>
                <c:pt idx="86">
                  <c:v>0.51773488007237012</c:v>
                </c:pt>
                <c:pt idx="87">
                  <c:v>0.42377177233065999</c:v>
                </c:pt>
                <c:pt idx="88">
                  <c:v>0.34578714951354622</c:v>
                </c:pt>
                <c:pt idx="89">
                  <c:v>0.28128770355326177</c:v>
                </c:pt>
                <c:pt idx="90">
                  <c:v>0.22812361954985522</c:v>
                </c:pt>
                <c:pt idx="91">
                  <c:v>0.18445040355077702</c:v>
                </c:pt>
                <c:pt idx="92">
                  <c:v>0.14869308783586299</c:v>
                </c:pt>
                <c:pt idx="93">
                  <c:v>0.11951308856775891</c:v>
                </c:pt>
                <c:pt idx="94">
                  <c:v>9.5777861791073865E-2</c:v>
                </c:pt>
                <c:pt idx="95">
                  <c:v>7.6533400221955372E-2</c:v>
                </c:pt>
                <c:pt idx="96">
                  <c:v>6.0979532386440431E-2</c:v>
                </c:pt>
                <c:pt idx="97">
                  <c:v>4.8447924634265643E-2</c:v>
                </c:pt>
                <c:pt idx="98">
                  <c:v>3.8382642570128266E-2</c:v>
                </c:pt>
                <c:pt idx="99">
                  <c:v>3.0323098803239891E-2</c:v>
                </c:pt>
                <c:pt idx="100">
                  <c:v>2.3889196089121267E-2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15-4E10-8C81-9272EA151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Theta Put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99709519100145E-2"/>
          <c:y val="0.13415412347904465"/>
          <c:w val="0.90964760971684266"/>
          <c:h val="0.8306255763164280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Greeks!$AB$12:$AB$112</c:f>
              <c:numCache>
                <c:formatCode>General</c:formatCode>
                <c:ptCount val="101"/>
                <c:pt idx="0">
                  <c:v>-4.9127092645373065E-3</c:v>
                </c:pt>
                <c:pt idx="1">
                  <c:v>-6.8561839002394473E-3</c:v>
                </c:pt>
                <c:pt idx="2">
                  <c:v>-9.508015802865994E-3</c:v>
                </c:pt>
                <c:pt idx="3">
                  <c:v>-1.310276817537185E-2</c:v>
                </c:pt>
                <c:pt idx="4">
                  <c:v>-1.7944083416260942E-2</c:v>
                </c:pt>
                <c:pt idx="5">
                  <c:v>-2.4422130132763568E-2</c:v>
                </c:pt>
                <c:pt idx="6">
                  <c:v>-3.303455482521922E-2</c:v>
                </c:pt>
                <c:pt idx="7">
                  <c:v>-4.4411380982289035E-2</c:v>
                </c:pt>
                <c:pt idx="8">
                  <c:v>-5.9344279844017231E-2</c:v>
                </c:pt>
                <c:pt idx="9">
                  <c:v>-7.8820591707674206E-2</c:v>
                </c:pt>
                <c:pt idx="10">
                  <c:v>-0.10406239792953959</c:v>
                </c:pt>
                <c:pt idx="11">
                  <c:v>-0.13657082514118374</c:v>
                </c:pt>
                <c:pt idx="12">
                  <c:v>-0.17817559830967333</c:v>
                </c:pt>
                <c:pt idx="13">
                  <c:v>-0.23108964247208863</c:v>
                </c:pt>
                <c:pt idx="14">
                  <c:v>-0.29796825983784908</c:v>
                </c:pt>
                <c:pt idx="15">
                  <c:v>-0.38197207688749202</c:v>
                </c:pt>
                <c:pt idx="16">
                  <c:v>-0.48683256500992023</c:v>
                </c:pt>
                <c:pt idx="17">
                  <c:v>-0.61691849118508302</c:v>
                </c:pt>
                <c:pt idx="18">
                  <c:v>-0.7773011591193616</c:v>
                </c:pt>
                <c:pt idx="19">
                  <c:v>-0.97381576733220321</c:v>
                </c:pt>
                <c:pt idx="20">
                  <c:v>-1.2131156550293865</c:v>
                </c:pt>
                <c:pt idx="21">
                  <c:v>-1.502715650259012</c:v>
                </c:pt>
                <c:pt idx="22">
                  <c:v>-1.8510202039074874</c:v>
                </c:pt>
                <c:pt idx="23">
                  <c:v>-2.2673315182814457</c:v>
                </c:pt>
                <c:pt idx="24">
                  <c:v>-2.7618324950217632</c:v>
                </c:pt>
                <c:pt idx="25">
                  <c:v>-3.3455390714627296</c:v>
                </c:pt>
                <c:pt idx="26">
                  <c:v>-4.0302164262324949</c:v>
                </c:pt>
                <c:pt idx="27">
                  <c:v>-4.8282536523896153</c:v>
                </c:pt>
                <c:pt idx="28">
                  <c:v>-5.7524918555798781</c:v>
                </c:pt>
                <c:pt idx="29">
                  <c:v>-6.8160012663968432</c:v>
                </c:pt>
                <c:pt idx="30">
                  <c:v>-8.0318038835650221</c:v>
                </c:pt>
                <c:pt idx="31">
                  <c:v>-9.4125394007785399</c:v>
                </c:pt>
                <c:pt idx="32">
                  <c:v>-10.970073715494745</c:v>
                </c:pt>
                <c:pt idx="33">
                  <c:v>-12.715051158520129</c:v>
                </c:pt>
                <c:pt idx="34">
                  <c:v>-14.656393688422177</c:v>
                </c:pt>
                <c:pt idx="35">
                  <c:v>-16.800752617119443</c:v>
                </c:pt>
                <c:pt idx="36">
                  <c:v>-19.151920907705794</c:v>
                </c:pt>
                <c:pt idx="37">
                  <c:v>-21.710216631587315</c:v>
                </c:pt>
                <c:pt idx="38">
                  <c:v>-24.471850693809181</c:v>
                </c:pt>
                <c:pt idx="39">
                  <c:v>-27.428294325977699</c:v>
                </c:pt>
                <c:pt idx="40">
                  <c:v>-30.565663990651817</c:v>
                </c:pt>
                <c:pt idx="41">
                  <c:v>-33.864143121864714</c:v>
                </c:pt>
                <c:pt idx="42">
                  <c:v>-37.297461428363363</c:v>
                </c:pt>
                <c:pt idx="43">
                  <c:v>-40.832453202463157</c:v>
                </c:pt>
                <c:pt idx="44">
                  <c:v>-44.42871611578277</c:v>
                </c:pt>
                <c:pt idx="45">
                  <c:v>-48.038391271453989</c:v>
                </c:pt>
                <c:pt idx="46">
                  <c:v>-51.606083774250543</c:v>
                </c:pt>
                <c:pt idx="47">
                  <c:v>-55.068940759056048</c:v>
                </c:pt>
                <c:pt idx="48">
                  <c:v>-58.356900701141939</c:v>
                </c:pt>
                <c:pt idx="49">
                  <c:v>-61.393123971078239</c:v>
                </c:pt>
                <c:pt idx="50">
                  <c:v>-64.094610080295737</c:v>
                </c:pt>
                <c:pt idx="51">
                  <c:v>-66.373002011764257</c:v>
                </c:pt>
                <c:pt idx="52">
                  <c:v>-68.135572595821571</c:v>
                </c:pt>
                <c:pt idx="53">
                  <c:v>-69.286382251098956</c:v>
                </c:pt>
                <c:pt idx="54">
                  <c:v>-69.727591760763772</c:v>
                </c:pt>
                <c:pt idx="55">
                  <c:v>-69.360908301902924</c:v>
                </c:pt>
                <c:pt idx="56">
                  <c:v>-68.089137899977885</c:v>
                </c:pt>
                <c:pt idx="57">
                  <c:v>-65.817813043086176</c:v>
                </c:pt>
                <c:pt idx="58">
                  <c:v>-62.456860548340103</c:v>
                </c:pt>
                <c:pt idx="59">
                  <c:v>-57.922272086219948</c:v>
                </c:pt>
                <c:pt idx="60">
                  <c:v>-52.13773816688979</c:v>
                </c:pt>
                <c:pt idx="61">
                  <c:v>-45.036205964816332</c:v>
                </c:pt>
                <c:pt idx="62">
                  <c:v>-36.561322150478645</c:v>
                </c:pt>
                <c:pt idx="63">
                  <c:v>-26.668723910105314</c:v>
                </c:pt>
                <c:pt idx="64">
                  <c:v>-15.327144518645071</c:v>
                </c:pt>
                <c:pt idx="65">
                  <c:v>-2.5193040947341956</c:v>
                </c:pt>
                <c:pt idx="66">
                  <c:v>11.757438625509167</c:v>
                </c:pt>
                <c:pt idx="67">
                  <c:v>27.490691677419136</c:v>
                </c:pt>
                <c:pt idx="68">
                  <c:v>44.652904045771095</c:v>
                </c:pt>
                <c:pt idx="69">
                  <c:v>63.20151335014458</c:v>
                </c:pt>
                <c:pt idx="70">
                  <c:v>83.079364727138454</c:v>
                </c:pt>
                <c:pt idx="71">
                  <c:v>104.2153916832504</c:v>
                </c:pt>
                <c:pt idx="72">
                  <c:v>126.52554311592922</c:v>
                </c:pt>
                <c:pt idx="73">
                  <c:v>149.91393467300264</c:v>
                </c:pt>
                <c:pt idx="74">
                  <c:v>174.27419732736666</c:v>
                </c:pt>
                <c:pt idx="75">
                  <c:v>199.49099163828362</c:v>
                </c:pt>
                <c:pt idx="76">
                  <c:v>225.44165277032516</c:v>
                </c:pt>
                <c:pt idx="77">
                  <c:v>251.9979290236011</c:v>
                </c:pt>
                <c:pt idx="78">
                  <c:v>279.02777543109704</c:v>
                </c:pt>
                <c:pt idx="79">
                  <c:v>306.39716389631872</c:v>
                </c:pt>
                <c:pt idx="80">
                  <c:v>333.97187233392975</c:v>
                </c:pt>
                <c:pt idx="81">
                  <c:v>361.61921725918853</c:v>
                </c:pt>
                <c:pt idx="82">
                  <c:v>389.20969713989842</c:v>
                </c:pt>
                <c:pt idx="83">
                  <c:v>416.61851744359126</c:v>
                </c:pt>
                <c:pt idx="84">
                  <c:v>443.72697253130383</c:v>
                </c:pt>
                <c:pt idx="85">
                  <c:v>470.42366420428721</c:v>
                </c:pt>
                <c:pt idx="86">
                  <c:v>496.60554163393454</c:v>
                </c:pt>
                <c:pt idx="87">
                  <c:v>522.17875243253661</c:v>
                </c:pt>
                <c:pt idx="88">
                  <c:v>547.05929959560046</c:v>
                </c:pt>
                <c:pt idx="89">
                  <c:v>571.17350382105178</c:v>
                </c:pt>
                <c:pt idx="90">
                  <c:v>594.45827515980125</c:v>
                </c:pt>
                <c:pt idx="91">
                  <c:v>616.86120196946808</c:v>
                </c:pt>
                <c:pt idx="92">
                  <c:v>638.340468645187</c:v>
                </c:pt>
                <c:pt idx="93">
                  <c:v>658.86461652848607</c:v>
                </c:pt>
                <c:pt idx="94">
                  <c:v>678.41216471139967</c:v>
                </c:pt>
                <c:pt idx="95">
                  <c:v>696.97110914528855</c:v>
                </c:pt>
                <c:pt idx="96">
                  <c:v>714.53831954038719</c:v>
                </c:pt>
                <c:pt idx="97">
                  <c:v>731.11885402996438</c:v>
                </c:pt>
                <c:pt idx="98">
                  <c:v>746.72521151510114</c:v>
                </c:pt>
                <c:pt idx="99">
                  <c:v>761.37654105837396</c:v>
                </c:pt>
                <c:pt idx="100">
                  <c:v>775.09782672244251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F46-965B-19292A55896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Greeks!$AC$12:$AC$112</c:f>
              <c:numCache>
                <c:formatCode>General</c:formatCode>
                <c:ptCount val="101"/>
                <c:pt idx="0">
                  <c:v>-0.65997772893848772</c:v>
                </c:pt>
                <c:pt idx="1">
                  <c:v>-0.83857810047737924</c:v>
                </c:pt>
                <c:pt idx="2">
                  <c:v>-1.0588573565656838</c:v>
                </c:pt>
                <c:pt idx="3">
                  <c:v>-1.3286925577641902</c:v>
                </c:pt>
                <c:pt idx="4">
                  <c:v>-1.6569796880748191</c:v>
                </c:pt>
                <c:pt idx="5">
                  <c:v>-2.0536532378762478</c:v>
                </c:pt>
                <c:pt idx="6">
                  <c:v>-2.529675997469941</c:v>
                </c:pt>
                <c:pt idx="7">
                  <c:v>-3.0969918788056345</c:v>
                </c:pt>
                <c:pt idx="8">
                  <c:v>-3.7684343841592334</c:v>
                </c:pt>
                <c:pt idx="9">
                  <c:v>-4.5575834303122047</c:v>
                </c:pt>
                <c:pt idx="10">
                  <c:v>-5.4785636719808366</c:v>
                </c:pt>
                <c:pt idx="11">
                  <c:v>-6.5457782983964723</c:v>
                </c:pt>
                <c:pt idx="12">
                  <c:v>-7.7735735399205597</c:v>
                </c:pt>
                <c:pt idx="13">
                  <c:v>-9.1758308392185697</c:v>
                </c:pt>
                <c:pt idx="14">
                  <c:v>-10.765485815470253</c:v>
                </c:pt>
                <c:pt idx="15">
                  <c:v>-12.553975758248257</c:v>
                </c:pt>
                <c:pt idx="16">
                  <c:v>-14.550620381514108</c:v>
                </c:pt>
                <c:pt idx="17">
                  <c:v>-16.761943871235054</c:v>
                </c:pt>
                <c:pt idx="18">
                  <c:v>-19.190949768115956</c:v>
                </c:pt>
                <c:pt idx="19">
                  <c:v>-21.8363638094919</c:v>
                </c:pt>
                <c:pt idx="20">
                  <c:v>-24.69186335856995</c:v>
                </c:pt>
                <c:pt idx="21">
                  <c:v>-27.745315304849715</c:v>
                </c:pt>
                <c:pt idx="22">
                  <c:v>-30.978047146530702</c:v>
                </c:pt>
                <c:pt idx="23">
                  <c:v>-34.364178182376719</c:v>
                </c:pt>
                <c:pt idx="24">
                  <c:v>-37.870039173293307</c:v>
                </c:pt>
                <c:pt idx="25">
                  <c:v>-41.453709327616437</c:v>
                </c:pt>
                <c:pt idx="26">
                  <c:v>-45.06469889211462</c:v>
                </c:pt>
                <c:pt idx="27">
                  <c:v>-48.643803904418753</c:v>
                </c:pt>
                <c:pt idx="28">
                  <c:v>-52.123156739822115</c:v>
                </c:pt>
                <c:pt idx="29">
                  <c:v>-55.426491976681049</c:v>
                </c:pt>
                <c:pt idx="30">
                  <c:v>-58.469641877217384</c:v>
                </c:pt>
                <c:pt idx="31">
                  <c:v>-61.16126955924797</c:v>
                </c:pt>
                <c:pt idx="32">
                  <c:v>-63.403840899818832</c:v>
                </c:pt>
                <c:pt idx="33">
                  <c:v>-65.094828594681175</c:v>
                </c:pt>
                <c:pt idx="34">
                  <c:v>-66.12813387084276</c:v>
                </c:pt>
                <c:pt idx="35">
                  <c:v>-66.395703416580915</c:v>
                </c:pt>
                <c:pt idx="36">
                  <c:v>-65.789311475336177</c:v>
                </c:pt>
                <c:pt idx="37">
                  <c:v>-64.202470070234</c:v>
                </c:pt>
                <c:pt idx="38">
                  <c:v>-61.532424294851609</c:v>
                </c:pt>
                <c:pt idx="39">
                  <c:v>-57.682184804647989</c:v>
                </c:pt>
                <c:pt idx="40">
                  <c:v>-52.562546310215879</c:v>
                </c:pt>
                <c:pt idx="41">
                  <c:v>-46.094039190109527</c:v>
                </c:pt>
                <c:pt idx="42">
                  <c:v>-38.208761423156318</c:v>
                </c:pt>
                <c:pt idx="43">
                  <c:v>-28.852039930542219</c:v>
                </c:pt>
                <c:pt idx="44">
                  <c:v>-17.98387408291768</c:v>
                </c:pt>
                <c:pt idx="45">
                  <c:v>-5.5801194581221125</c:v>
                </c:pt>
                <c:pt idx="46">
                  <c:v>8.3666232496171347</c:v>
                </c:pt>
                <c:pt idx="47">
                  <c:v>23.846441211375634</c:v>
                </c:pt>
                <c:pt idx="48">
                  <c:v>40.83188237568487</c:v>
                </c:pt>
                <c:pt idx="49">
                  <c:v>59.278076735386037</c:v>
                </c:pt>
                <c:pt idx="50">
                  <c:v>79.123204502036629</c:v>
                </c:pt>
                <c:pt idx="51">
                  <c:v>100.28929997606946</c:v>
                </c:pt>
                <c:pt idx="52">
                  <c:v>122.68337059610803</c:v>
                </c:pt>
                <c:pt idx="53">
                  <c:v>146.19880213364729</c:v>
                </c:pt>
                <c:pt idx="54">
                  <c:v>170.71701355851644</c:v>
                </c:pt>
                <c:pt idx="55">
                  <c:v>196.10931897430521</c:v>
                </c:pt>
                <c:pt idx="56">
                  <c:v>222.23894939030879</c:v>
                </c:pt>
                <c:pt idx="57">
                  <c:v>248.96318407165336</c:v>
                </c:pt>
                <c:pt idx="58">
                  <c:v>276.13553983930581</c:v>
                </c:pt>
                <c:pt idx="59">
                  <c:v>303.6079669577976</c:v>
                </c:pt>
                <c:pt idx="60">
                  <c:v>331.23300206964717</c:v>
                </c:pt>
                <c:pt idx="61">
                  <c:v>358.86583187532898</c:v>
                </c:pt>
                <c:pt idx="62">
                  <c:v>386.36622573319681</c:v>
                </c:pt>
                <c:pt idx="63">
                  <c:v>413.60030084573987</c:v>
                </c:pt>
                <c:pt idx="64">
                  <c:v>440.44208996286488</c:v>
                </c:pt>
                <c:pt idx="65">
                  <c:v>466.77488831221353</c:v>
                </c:pt>
                <c:pt idx="66">
                  <c:v>492.49236350191632</c:v>
                </c:pt>
                <c:pt idx="67">
                  <c:v>517.49941918254024</c:v>
                </c:pt>
                <c:pt idx="68">
                  <c:v>541.71281007072866</c:v>
                </c:pt>
                <c:pt idx="69">
                  <c:v>565.06151232172761</c:v>
                </c:pt>
                <c:pt idx="70">
                  <c:v>587.48685901854117</c:v>
                </c:pt>
                <c:pt idx="71">
                  <c:v>608.94245558514285</c:v>
                </c:pt>
                <c:pt idx="72">
                  <c:v>629.39389413175934</c:v>
                </c:pt>
                <c:pt idx="73">
                  <c:v>648.81828904235942</c:v>
                </c:pt>
                <c:pt idx="74">
                  <c:v>667.203658496088</c:v>
                </c:pt>
                <c:pt idx="75">
                  <c:v>684.54817808805683</c:v>
                </c:pt>
                <c:pt idx="76">
                  <c:v>700.85933332366392</c:v>
                </c:pt>
                <c:pt idx="77">
                  <c:v>716.15299757318053</c:v>
                </c:pt>
                <c:pt idx="78">
                  <c:v>730.45246117867271</c:v>
                </c:pt>
                <c:pt idx="79">
                  <c:v>743.78743590693477</c:v>
                </c:pt>
                <c:pt idx="80">
                  <c:v>756.19305695257924</c:v>
                </c:pt>
                <c:pt idx="81">
                  <c:v>767.70890233100033</c:v>
                </c:pt>
                <c:pt idx="82">
                  <c:v>778.37804687683752</c:v>
                </c:pt>
                <c:pt idx="83">
                  <c:v>788.24616528976765</c:v>
                </c:pt>
                <c:pt idx="84">
                  <c:v>797.36069584725988</c:v>
                </c:pt>
                <c:pt idx="85">
                  <c:v>805.7700736234666</c:v>
                </c:pt>
                <c:pt idx="86">
                  <c:v>813.52303939164858</c:v>
                </c:pt>
                <c:pt idx="87">
                  <c:v>820.66802790738518</c:v>
                </c:pt>
                <c:pt idx="88">
                  <c:v>827.2526370196988</c:v>
                </c:pt>
                <c:pt idx="89">
                  <c:v>833.32317707143261</c:v>
                </c:pt>
                <c:pt idx="90">
                  <c:v>838.92429834958648</c:v>
                </c:pt>
                <c:pt idx="91">
                  <c:v>844.09869293956751</c:v>
                </c:pt>
                <c:pt idx="92">
                  <c:v>848.88686622244074</c:v>
                </c:pt>
                <c:pt idx="93">
                  <c:v>853.32697242023994</c:v>
                </c:pt>
                <c:pt idx="94">
                  <c:v>857.45470802299747</c:v>
                </c:pt>
                <c:pt idx="95">
                  <c:v>861.30325659859227</c:v>
                </c:pt>
                <c:pt idx="96">
                  <c:v>864.90327836531128</c:v>
                </c:pt>
                <c:pt idx="97">
                  <c:v>868.28293796737466</c:v>
                </c:pt>
                <c:pt idx="98">
                  <c:v>871.46796410500292</c:v>
                </c:pt>
                <c:pt idx="99">
                  <c:v>874.48173500264238</c:v>
                </c:pt>
                <c:pt idx="100">
                  <c:v>877.34538412275765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41-4F46-965B-19292A55896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Greeks!$AD$12:$AD$112</c:f>
              <c:numCache>
                <c:formatCode>General</c:formatCode>
                <c:ptCount val="101"/>
                <c:pt idx="0">
                  <c:v>-19.264739514187177</c:v>
                </c:pt>
                <c:pt idx="1">
                  <c:v>-22.005210479499862</c:v>
                </c:pt>
                <c:pt idx="2">
                  <c:v>-24.961526438291347</c:v>
                </c:pt>
                <c:pt idx="3">
                  <c:v>-28.116707538942745</c:v>
                </c:pt>
                <c:pt idx="4">
                  <c:v>-31.445726906378173</c:v>
                </c:pt>
                <c:pt idx="5">
                  <c:v>-34.914745972174316</c:v>
                </c:pt>
                <c:pt idx="6">
                  <c:v>-38.480485731567242</c:v>
                </c:pt>
                <c:pt idx="7">
                  <c:v>-42.08977284245632</c:v>
                </c:pt>
                <c:pt idx="8">
                  <c:v>-45.679297626109765</c:v>
                </c:pt>
                <c:pt idx="9">
                  <c:v>-49.175617386742786</c:v>
                </c:pt>
                <c:pt idx="10">
                  <c:v>-52.495433027193464</c:v>
                </c:pt>
                <c:pt idx="11">
                  <c:v>-55.546159783356501</c:v>
                </c:pt>
                <c:pt idx="12">
                  <c:v>-58.226804209737182</c:v>
                </c:pt>
                <c:pt idx="13">
                  <c:v>-60.42914959506588</c:v>
                </c:pt>
                <c:pt idx="14">
                  <c:v>-62.039241128170445</c:v>
                </c:pt>
                <c:pt idx="15">
                  <c:v>-62.939150799180467</c:v>
                </c:pt>
                <c:pt idx="16">
                  <c:v>-63.008990690313126</c:v>
                </c:pt>
                <c:pt idx="17">
                  <c:v>-62.12913249302224</c:v>
                </c:pt>
                <c:pt idx="18">
                  <c:v>-60.182581295208877</c:v>
                </c:pt>
                <c:pt idx="19">
                  <c:v>-57.057443399020968</c:v>
                </c:pt>
                <c:pt idx="20">
                  <c:v>-52.649421589312624</c:v>
                </c:pt>
                <c:pt idx="21">
                  <c:v>-46.86426723026608</c:v>
                </c:pt>
                <c:pt idx="22">
                  <c:v>-39.620117079275929</c:v>
                </c:pt>
                <c:pt idx="23">
                  <c:v>-30.849643914478094</c:v>
                </c:pt>
                <c:pt idx="24">
                  <c:v>-20.501953992069275</c:v>
                </c:pt>
                <c:pt idx="25">
                  <c:v>-8.5441708713988191</c:v>
                </c:pt>
                <c:pt idx="26">
                  <c:v>5.0373459639186535</c:v>
                </c:pt>
                <c:pt idx="27">
                  <c:v>20.236188347253403</c:v>
                </c:pt>
                <c:pt idx="28">
                  <c:v>37.025520694255306</c:v>
                </c:pt>
                <c:pt idx="29">
                  <c:v>55.358149885497824</c:v>
                </c:pt>
                <c:pt idx="30">
                  <c:v>75.16704427693486</c:v>
                </c:pt>
                <c:pt idx="31">
                  <c:v>96.366288326005758</c:v>
                </c:pt>
                <c:pt idx="32">
                  <c:v>118.85244592185489</c:v>
                </c:pt>
                <c:pt idx="33">
                  <c:v>142.50629325663294</c:v>
                </c:pt>
                <c:pt idx="34">
                  <c:v>167.19487143210495</c:v>
                </c:pt>
                <c:pt idx="35">
                  <c:v>192.77380033929046</c:v>
                </c:pt>
                <c:pt idx="36">
                  <c:v>219.08978895682412</c:v>
                </c:pt>
                <c:pt idx="37">
                  <c:v>245.98327325626832</c:v>
                </c:pt>
                <c:pt idx="38">
                  <c:v>273.2911114377207</c:v>
                </c:pt>
                <c:pt idx="39">
                  <c:v>300.84926719577714</c:v>
                </c:pt>
                <c:pt idx="40">
                  <c:v>328.49541498202115</c:v>
                </c:pt>
                <c:pt idx="41">
                  <c:v>356.0714065448006</c:v>
                </c:pt>
                <c:pt idx="42">
                  <c:v>383.42554507754414</c:v>
                </c:pt>
                <c:pt idx="43">
                  <c:v>410.41462172716075</c:v>
                </c:pt>
                <c:pt idx="44">
                  <c:v>436.90567860557371</c:v>
                </c:pt>
                <c:pt idx="45">
                  <c:v>462.77747239903761</c:v>
                </c:pt>
                <c:pt idx="46">
                  <c:v>487.92162277766033</c:v>
                </c:pt>
                <c:pt idx="47">
                  <c:v>512.24343969218103</c:v>
                </c:pt>
                <c:pt idx="48">
                  <c:v>535.6624329668557</c:v>
                </c:pt>
                <c:pt idx="49">
                  <c:v>558.11251606761402</c:v>
                </c:pt>
                <c:pt idx="50">
                  <c:v>579.54192331426214</c:v>
                </c:pt>
                <c:pt idx="51">
                  <c:v>599.91286594882422</c:v>
                </c:pt>
                <c:pt idx="52">
                  <c:v>619.20095726835655</c:v>
                </c:pt>
                <c:pt idx="53">
                  <c:v>637.39444044165964</c:v>
                </c:pt>
                <c:pt idx="54">
                  <c:v>654.49325467480435</c:v>
                </c:pt>
                <c:pt idx="55">
                  <c:v>670.50797614057979</c:v>
                </c:pt>
                <c:pt idx="56">
                  <c:v>685.4586696543347</c:v>
                </c:pt>
                <c:pt idx="57">
                  <c:v>699.37368560813036</c:v>
                </c:pt>
                <c:pt idx="58">
                  <c:v>712.28843433432712</c:v>
                </c:pt>
                <c:pt idx="59">
                  <c:v>724.2441670392227</c:v>
                </c:pt>
                <c:pt idx="60">
                  <c:v>735.28678891153379</c:v>
                </c:pt>
                <c:pt idx="61">
                  <c:v>745.46572614957608</c:v>
                </c:pt>
                <c:pt idx="62">
                  <c:v>754.83286463393722</c:v>
                </c:pt>
                <c:pt idx="63">
                  <c:v>763.44157395198863</c:v>
                </c:pt>
                <c:pt idx="64">
                  <c:v>771.3458265887889</c:v>
                </c:pt>
                <c:pt idx="65">
                  <c:v>778.59941844522723</c:v>
                </c:pt>
                <c:pt idx="66">
                  <c:v>785.25529351387911</c:v>
                </c:pt>
                <c:pt idx="67">
                  <c:v>791.36497259740565</c:v>
                </c:pt>
                <c:pt idx="68">
                  <c:v>796.97808343210716</c:v>
                </c:pt>
                <c:pt idx="69">
                  <c:v>802.14198749815284</c:v>
                </c:pt>
                <c:pt idx="70">
                  <c:v>806.90149715755138</c:v>
                </c:pt>
                <c:pt idx="71">
                  <c:v>811.29867554511236</c:v>
                </c:pt>
                <c:pt idx="72">
                  <c:v>815.37271081816971</c:v>
                </c:pt>
                <c:pt idx="73">
                  <c:v>819.15985591014976</c:v>
                </c:pt>
                <c:pt idx="74">
                  <c:v>822.69342478736201</c:v>
                </c:pt>
                <c:pt idx="75">
                  <c:v>826.00383633028582</c:v>
                </c:pt>
                <c:pt idx="76">
                  <c:v>829.11869730164267</c:v>
                </c:pt>
                <c:pt idx="77">
                  <c:v>832.06291637602521</c:v>
                </c:pt>
                <c:pt idx="78">
                  <c:v>834.85884184469955</c:v>
                </c:pt>
                <c:pt idx="79">
                  <c:v>837.52641633302051</c:v>
                </c:pt>
                <c:pt idx="80">
                  <c:v>840.08334263991412</c:v>
                </c:pt>
                <c:pt idx="81">
                  <c:v>842.54525559741273</c:v>
                </c:pt>
                <c:pt idx="82">
                  <c:v>844.92589562689807</c:v>
                </c:pt>
                <c:pt idx="83">
                  <c:v>847.23728041642642</c:v>
                </c:pt>
                <c:pt idx="84">
                  <c:v>849.48987184418957</c:v>
                </c:pt>
                <c:pt idx="85">
                  <c:v>851.69273591536182</c:v>
                </c:pt>
                <c:pt idx="86">
                  <c:v>853.85369405598101</c:v>
                </c:pt>
                <c:pt idx="87">
                  <c:v>855.97946461434196</c:v>
                </c:pt>
                <c:pt idx="88">
                  <c:v>858.0757938568903</c:v>
                </c:pt>
                <c:pt idx="89">
                  <c:v>860.14757611342088</c:v>
                </c:pt>
                <c:pt idx="90">
                  <c:v>862.19896302897098</c:v>
                </c:pt>
                <c:pt idx="91">
                  <c:v>864.23346212201307</c:v>
                </c:pt>
                <c:pt idx="92">
                  <c:v>866.25402503606483</c:v>
                </c:pt>
                <c:pt idx="93">
                  <c:v>868.26312601090092</c:v>
                </c:pt>
                <c:pt idx="94">
                  <c:v>870.26283119654363</c:v>
                </c:pt>
                <c:pt idx="95">
                  <c:v>872.25485949445908</c:v>
                </c:pt>
                <c:pt idx="96">
                  <c:v>874.24063564193739</c:v>
                </c:pt>
                <c:pt idx="97">
                  <c:v>876.22133626310131</c:v>
                </c:pt>
                <c:pt idx="98">
                  <c:v>878.19792959849622</c:v>
                </c:pt>
                <c:pt idx="99">
                  <c:v>880.1712095992707</c:v>
                </c:pt>
                <c:pt idx="100">
                  <c:v>882.14182503554821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41-4F46-965B-19292A558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Rho</a:t>
            </a:r>
            <a:r>
              <a:rPr lang="en-US" altLang="ja-JP" baseline="0"/>
              <a:t> Call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ITM</c:v>
          </c:tx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Greeks!$AE$12:$AE$112</c:f>
              <c:numCache>
                <c:formatCode>General</c:formatCode>
                <c:ptCount val="101"/>
                <c:pt idx="0">
                  <c:v>34306.890719977862</c:v>
                </c:pt>
                <c:pt idx="1">
                  <c:v>34404.884105096753</c:v>
                </c:pt>
                <c:pt idx="2">
                  <c:v>34502.867099441886</c:v>
                </c:pt>
                <c:pt idx="3">
                  <c:v>34600.835942739846</c:v>
                </c:pt>
                <c:pt idx="4">
                  <c:v>34698.785636204899</c:v>
                </c:pt>
                <c:pt idx="5">
                  <c:v>34796.709578567694</c:v>
                </c:pt>
                <c:pt idx="6">
                  <c:v>34894.599109760391</c:v>
                </c:pt>
                <c:pt idx="7">
                  <c:v>34992.442943304733</c:v>
                </c:pt>
                <c:pt idx="8">
                  <c:v>35090.226465823791</c:v>
                </c:pt>
                <c:pt idx="9">
                  <c:v>35187.930879448599</c:v>
                </c:pt>
                <c:pt idx="10">
                  <c:v>35285.532160326555</c:v>
                </c:pt>
                <c:pt idx="11">
                  <c:v>35382.999804095496</c:v>
                </c:pt>
                <c:pt idx="12">
                  <c:v>35480.295327230146</c:v>
                </c:pt>
                <c:pt idx="13">
                  <c:v>35577.370491792819</c:v>
                </c:pt>
                <c:pt idx="14">
                  <c:v>35674.165220547977</c:v>
                </c:pt>
                <c:pt idx="15">
                  <c:v>35770.605169876268</c:v>
                </c:pt>
                <c:pt idx="16">
                  <c:v>35866.598929708605</c:v>
                </c:pt>
                <c:pt idx="17">
                  <c:v>35962.034823060887</c:v>
                </c:pt>
                <c:pt idx="18">
                  <c:v>36056.777282949013</c:v>
                </c:pt>
                <c:pt idx="19">
                  <c:v>36150.662791741932</c:v>
                </c:pt>
                <c:pt idx="20">
                  <c:v>36243.495377573468</c:v>
                </c:pt>
                <c:pt idx="21">
                  <c:v>36335.041674430824</c:v>
                </c:pt>
                <c:pt idx="22">
                  <c:v>36425.025567041448</c:v>
                </c:pt>
                <c:pt idx="23">
                  <c:v>36513.122458668469</c:v>
                </c:pt>
                <c:pt idx="24">
                  <c:v>36598.953219261057</c:v>
                </c:pt>
                <c:pt idx="25">
                  <c:v>36682.077892820271</c:v>
                </c:pt>
                <c:pt idx="26">
                  <c:v>36761.98926592098</c:v>
                </c:pt>
                <c:pt idx="27">
                  <c:v>36838.106423510551</c:v>
                </c:pt>
                <c:pt idx="28">
                  <c:v>36909.768442667468</c:v>
                </c:pt>
                <c:pt idx="29">
                  <c:v>36976.22839908248</c:v>
                </c:pt>
                <c:pt idx="30">
                  <c:v>37036.647883628175</c:v>
                </c:pt>
                <c:pt idx="31">
                  <c:v>37090.092246407039</c:v>
                </c:pt>
                <c:pt idx="32">
                  <c:v>37135.52680194351</c:v>
                </c:pt>
                <c:pt idx="33">
                  <c:v>37171.814240511252</c:v>
                </c:pt>
                <c:pt idx="34">
                  <c:v>37197.713495787735</c:v>
                </c:pt>
                <c:pt idx="35">
                  <c:v>37211.880317007475</c:v>
                </c:pt>
                <c:pt idx="36">
                  <c:v>37212.86978359121</c:v>
                </c:pt>
                <c:pt idx="37">
                  <c:v>37199.140981109187</c:v>
                </c:pt>
                <c:pt idx="38">
                  <c:v>37169.064028908491</c:v>
                </c:pt>
                <c:pt idx="39">
                  <c:v>37120.929611627937</c:v>
                </c:pt>
                <c:pt idx="40">
                  <c:v>37052.961119335137</c:v>
                </c:pt>
                <c:pt idx="41">
                  <c:v>36963.329444737712</c:v>
                </c:pt>
                <c:pt idx="42">
                  <c:v>36850.170421845309</c:v>
                </c:pt>
                <c:pt idx="43">
                  <c:v>36711.604820002191</c:v>
                </c:pt>
                <c:pt idx="44">
                  <c:v>36545.760732167138</c:v>
                </c:pt>
                <c:pt idx="45">
                  <c:v>36350.798118836254</c:v>
                </c:pt>
                <c:pt idx="46">
                  <c:v>36124.935191510354</c:v>
                </c:pt>
                <c:pt idx="47">
                  <c:v>35866.476244735903</c:v>
                </c:pt>
                <c:pt idx="48">
                  <c:v>35573.840476240395</c:v>
                </c:pt>
                <c:pt idx="49">
                  <c:v>35245.591273279875</c:v>
                </c:pt>
                <c:pt idx="50">
                  <c:v>34880.46539264833</c:v>
                </c:pt>
                <c:pt idx="51">
                  <c:v>34477.40142426778</c:v>
                </c:pt>
                <c:pt idx="52">
                  <c:v>34035.56690593675</c:v>
                </c:pt>
                <c:pt idx="53">
                  <c:v>33554.38345127699</c:v>
                </c:pt>
                <c:pt idx="54">
                  <c:v>33033.549265259346</c:v>
                </c:pt>
                <c:pt idx="55">
                  <c:v>32473.058452385987</c:v>
                </c:pt>
                <c:pt idx="56">
                  <c:v>31873.216571480458</c:v>
                </c:pt>
                <c:pt idx="57">
                  <c:v>31234.651957262267</c:v>
                </c:pt>
                <c:pt idx="58">
                  <c:v>30558.322410966844</c:v>
                </c:pt>
                <c:pt idx="59">
                  <c:v>29845.516958118111</c:v>
                </c:pt>
                <c:pt idx="60">
                  <c:v>29097.852478530778</c:v>
                </c:pt>
                <c:pt idx="61">
                  <c:v>28317.265128624433</c:v>
                </c:pt>
                <c:pt idx="62">
                  <c:v>27505.996595734028</c:v>
                </c:pt>
                <c:pt idx="63">
                  <c:v>26666.575344681158</c:v>
                </c:pt>
                <c:pt idx="64">
                  <c:v>25801.79313470691</c:v>
                </c:pt>
                <c:pt idx="65">
                  <c:v>24914.677196340355</c:v>
                </c:pt>
                <c:pt idx="66">
                  <c:v>24008.458559458799</c:v>
                </c:pt>
                <c:pt idx="67">
                  <c:v>23086.537112606373</c:v>
                </c:pt>
                <c:pt idx="68">
                  <c:v>22152.444046958211</c:v>
                </c:pt>
                <c:pt idx="69">
                  <c:v>21209.802394057529</c:v>
                </c:pt>
                <c:pt idx="70">
                  <c:v>20262.286403163947</c:v>
                </c:pt>
                <c:pt idx="71">
                  <c:v>19313.580520925767</c:v>
                </c:pt>
                <c:pt idx="72">
                  <c:v>18367.338733004115</c:v>
                </c:pt>
                <c:pt idx="73">
                  <c:v>17427.145004770206</c:v>
                </c:pt>
                <c:pt idx="74">
                  <c:v>16496.475517430441</c:v>
                </c:pt>
                <c:pt idx="75">
                  <c:v>15578.66333862873</c:v>
                </c:pt>
                <c:pt idx="76">
                  <c:v>14676.866094931314</c:v>
                </c:pt>
                <c:pt idx="77">
                  <c:v>13794.037130199269</c:v>
                </c:pt>
                <c:pt idx="78">
                  <c:v>12932.900541546305</c:v>
                </c:pt>
                <c:pt idx="79">
                  <c:v>12095.930386376805</c:v>
                </c:pt>
                <c:pt idx="80">
                  <c:v>11285.334252951148</c:v>
                </c:pt>
                <c:pt idx="81">
                  <c:v>10503.041286017979</c:v>
                </c:pt>
                <c:pt idx="82">
                  <c:v>9750.6946611024141</c:v>
                </c:pt>
                <c:pt idx="83">
                  <c:v>9029.6484086098044</c:v>
                </c:pt>
                <c:pt idx="84">
                  <c:v>8340.9684042221725</c:v>
                </c:pt>
                <c:pt idx="85">
                  <c:v>7685.4372669846607</c:v>
                </c:pt>
                <c:pt idx="86">
                  <c:v>7063.562842423411</c:v>
                </c:pt>
                <c:pt idx="87">
                  <c:v>6475.5898959939113</c:v>
                </c:pt>
                <c:pt idx="88">
                  <c:v>5921.5146026780021</c:v>
                </c:pt>
                <c:pt idx="89">
                  <c:v>5401.1013917513319</c:v>
                </c:pt>
                <c:pt idx="90">
                  <c:v>4913.9016913594278</c:v>
                </c:pt>
                <c:pt idx="91">
                  <c:v>4459.2741149520361</c:v>
                </c:pt>
                <c:pt idx="92">
                  <c:v>4036.4056399045007</c:v>
                </c:pt>
                <c:pt idx="93">
                  <c:v>3644.3333466427648</c:v>
                </c:pt>
                <c:pt idx="94">
                  <c:v>3281.9663129361356</c:v>
                </c:pt>
                <c:pt idx="95">
                  <c:v>2948.1072912637314</c:v>
                </c:pt>
                <c:pt idx="96">
                  <c:v>2641.4738357717533</c:v>
                </c:pt>
                <c:pt idx="97">
                  <c:v>2360.7185877877209</c:v>
                </c:pt>
                <c:pt idx="98">
                  <c:v>2104.4484736603958</c:v>
                </c:pt>
                <c:pt idx="99">
                  <c:v>1871.2426144522929</c:v>
                </c:pt>
                <c:pt idx="100">
                  <c:v>1659.6687924546043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A5-4F07-8C41-5F5887069D93}"/>
            </c:ext>
          </c:extLst>
        </c:ser>
        <c:ser>
          <c:idx val="2"/>
          <c:order val="1"/>
          <c:tx>
            <c:v>ATM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Greeks!$AF$12:$AF$112</c:f>
              <c:numCache>
                <c:formatCode>General</c:formatCode>
                <c:ptCount val="101"/>
                <c:pt idx="0">
                  <c:v>34294.764044124742</c:v>
                </c:pt>
                <c:pt idx="1">
                  <c:v>34389.078173247981</c:v>
                </c:pt>
                <c:pt idx="2">
                  <c:v>34482.383553597669</c:v>
                </c:pt>
                <c:pt idx="3">
                  <c:v>34574.441042963961</c:v>
                </c:pt>
                <c:pt idx="4">
                  <c:v>34664.964538701868</c:v>
                </c:pt>
                <c:pt idx="5">
                  <c:v>34753.614176514449</c:v>
                </c:pt>
                <c:pt idx="6">
                  <c:v>34839.989093314303</c:v>
                </c:pt>
                <c:pt idx="7">
                  <c:v>34923.619850314855</c:v>
                </c:pt>
                <c:pt idx="8">
                  <c:v>35003.960644324863</c:v>
                </c:pt>
                <c:pt idx="9">
                  <c:v>35080.38146890972</c:v>
                </c:pt>
                <c:pt idx="10">
                  <c:v>35152.160421588058</c:v>
                </c:pt>
                <c:pt idx="11">
                  <c:v>35218.476387254792</c:v>
                </c:pt>
                <c:pt idx="12">
                  <c:v>35278.402360048844</c:v>
                </c:pt>
                <c:pt idx="13">
                  <c:v>35330.899694224136</c:v>
                </c:pt>
                <c:pt idx="14">
                  <c:v>35374.813597425142</c:v>
                </c:pt>
                <c:pt idx="15">
                  <c:v>35408.870195256241</c:v>
                </c:pt>
                <c:pt idx="16">
                  <c:v>35431.675502350219</c:v>
                </c:pt>
                <c:pt idx="17">
                  <c:v>35441.71663060772</c:v>
                </c:pt>
                <c:pt idx="18">
                  <c:v>35437.365548463094</c:v>
                </c:pt>
                <c:pt idx="19">
                  <c:v>35416.885674847945</c:v>
                </c:pt>
                <c:pt idx="20">
                  <c:v>35378.44154733733</c:v>
                </c:pt>
                <c:pt idx="21">
                  <c:v>35320.111745680508</c:v>
                </c:pt>
                <c:pt idx="22">
                  <c:v>35239.905180051566</c:v>
                </c:pt>
                <c:pt idx="23">
                  <c:v>35135.780769073077</c:v>
                </c:pt>
                <c:pt idx="24">
                  <c:v>35005.670437810644</c:v>
                </c:pt>
                <c:pt idx="25">
                  <c:v>34847.505262997045</c:v>
                </c:pt>
                <c:pt idx="26">
                  <c:v>34659.244484815099</c:v>
                </c:pt>
                <c:pt idx="27">
                  <c:v>34438.906995247395</c:v>
                </c:pt>
                <c:pt idx="28">
                  <c:v>34184.604806272408</c:v>
                </c:pt>
                <c:pt idx="29">
                  <c:v>33894.577901261626</c:v>
                </c:pt>
                <c:pt idx="30">
                  <c:v>33567.229784076073</c:v>
                </c:pt>
                <c:pt idx="31">
                  <c:v>33201.162966694523</c:v>
                </c:pt>
                <c:pt idx="32">
                  <c:v>32795.213581506119</c:v>
                </c:pt>
                <c:pt idx="33">
                  <c:v>32348.484271917339</c:v>
                </c:pt>
                <c:pt idx="34">
                  <c:v>31860.374507181466</c:v>
                </c:pt>
                <c:pt idx="35">
                  <c:v>31330.607486029563</c:v>
                </c:pt>
                <c:pt idx="36">
                  <c:v>30759.252839444951</c:v>
                </c:pt>
                <c:pt idx="37">
                  <c:v>30146.744415411897</c:v>
                </c:pt>
                <c:pt idx="38">
                  <c:v>29493.892526234504</c:v>
                </c:pt>
                <c:pt idx="39">
                  <c:v>28801.890159563569</c:v>
                </c:pt>
                <c:pt idx="40">
                  <c:v>28072.312794119011</c:v>
                </c:pt>
                <c:pt idx="41">
                  <c:v>27307.111615936508</c:v>
                </c:pt>
                <c:pt idx="42">
                  <c:v>26508.600095806334</c:v>
                </c:pt>
                <c:pt idx="43">
                  <c:v>25679.434057952771</c:v>
                </c:pt>
                <c:pt idx="44">
                  <c:v>24822.585538208557</c:v>
                </c:pt>
                <c:pt idx="45">
                  <c:v>23941.310891273082</c:v>
                </c:pt>
                <c:pt idx="46">
                  <c:v>23039.113755622326</c:v>
                </c:pt>
                <c:pt idx="47">
                  <c:v>22119.703616268347</c:v>
                </c:pt>
                <c:pt idx="48">
                  <c:v>21186.950815505214</c:v>
                </c:pt>
                <c:pt idx="49">
                  <c:v>20244.838946548676</c:v>
                </c:pt>
                <c:pt idx="50">
                  <c:v>19297.415622060904</c:v>
                </c:pt>
                <c:pt idx="51">
                  <c:v>18348.742637507279</c:v>
                </c:pt>
                <c:pt idx="52">
                  <c:v>17402.846547763074</c:v>
                </c:pt>
                <c:pt idx="53">
                  <c:v>16463.670645108883</c:v>
                </c:pt>
                <c:pt idx="54">
                  <c:v>15535.029269473203</c:v>
                </c:pt>
                <c:pt idx="55">
                  <c:v>14620.56530016684</c:v>
                </c:pt>
                <c:pt idx="56">
                  <c:v>13723.711575843781</c:v>
                </c:pt>
                <c:pt idx="57">
                  <c:v>12847.656870066778</c:v>
                </c:pt>
                <c:pt idx="58">
                  <c:v>11995.316918114821</c:v>
                </c:pt>
                <c:pt idx="59">
                  <c:v>11169.310851231709</c:v>
                </c:pt>
                <c:pt idx="60">
                  <c:v>10371.943252099501</c:v>
                </c:pt>
                <c:pt idx="61">
                  <c:v>9605.1919044874121</c:v>
                </c:pt>
                <c:pt idx="62">
                  <c:v>8870.7011750160455</c:v>
                </c:pt>
                <c:pt idx="63">
                  <c:v>8169.7808395665661</c:v>
                </c:pt>
                <c:pt idx="64">
                  <c:v>7503.4100542537753</c:v>
                </c:pt>
                <c:pt idx="65">
                  <c:v>6872.2460736164985</c:v>
                </c:pt>
                <c:pt idx="66">
                  <c:v>6276.6372385958002</c:v>
                </c:pt>
                <c:pt idx="67">
                  <c:v>5716.639695095454</c:v>
                </c:pt>
                <c:pt idx="68">
                  <c:v>5192.037260866472</c:v>
                </c:pt>
                <c:pt idx="69">
                  <c:v>4702.3638338908149</c:v>
                </c:pt>
                <c:pt idx="70">
                  <c:v>4246.9277285257485</c:v>
                </c:pt>
                <c:pt idx="71">
                  <c:v>3824.8373350699253</c:v>
                </c:pt>
                <c:pt idx="72">
                  <c:v>3435.0275223735703</c:v>
                </c:pt>
                <c:pt idx="73">
                  <c:v>3076.2862395777156</c:v>
                </c:pt>
                <c:pt idx="74">
                  <c:v>2747.2808197693507</c:v>
                </c:pt>
                <c:pt idx="75">
                  <c:v>2446.5835429156373</c:v>
                </c:pt>
                <c:pt idx="76">
                  <c:v>2172.6960755230562</c:v>
                </c:pt>
                <c:pt idx="77">
                  <c:v>1924.0724677655578</c:v>
                </c:pt>
                <c:pt idx="78">
                  <c:v>1699.1404532009551</c:v>
                </c:pt>
                <c:pt idx="79">
                  <c:v>1496.3208597172866</c:v>
                </c:pt>
                <c:pt idx="80">
                  <c:v>1314.0450013426962</c:v>
                </c:pt>
                <c:pt idx="81">
                  <c:v>1150.7699776158731</c:v>
                </c:pt>
                <c:pt idx="82">
                  <c:v>1004.9918592442779</c:v>
                </c:pt>
                <c:pt idx="83">
                  <c:v>875.25678496450178</c:v>
                </c:pt>
                <c:pt idx="84">
                  <c:v>760.17003433723585</c:v>
                </c:pt>
                <c:pt idx="85">
                  <c:v>658.40317439594264</c:v>
                </c:pt>
                <c:pt idx="86">
                  <c:v>568.69940460017324</c:v>
                </c:pt>
                <c:pt idx="87">
                  <c:v>489.87724460160439</c:v>
                </c:pt>
                <c:pt idx="88">
                  <c:v>420.83272326611865</c:v>
                </c:pt>
                <c:pt idx="89">
                  <c:v>360.54023569370992</c:v>
                </c:pt>
                <c:pt idx="90">
                  <c:v>308.05223822497038</c:v>
                </c:pt>
                <c:pt idx="91">
                  <c:v>262.49795026723604</c:v>
                </c:pt>
                <c:pt idx="92">
                  <c:v>223.08122689741205</c:v>
                </c:pt>
                <c:pt idx="93">
                  <c:v>189.07775829096141</c:v>
                </c:pt>
                <c:pt idx="94">
                  <c:v>159.83174175773198</c:v>
                </c:pt>
                <c:pt idx="95">
                  <c:v>134.75216017002779</c:v>
                </c:pt>
                <c:pt idx="96">
                  <c:v>113.30878742936017</c:v>
                </c:pt>
                <c:pt idx="97">
                  <c:v>95.028027857470036</c:v>
                </c:pt>
                <c:pt idx="98">
                  <c:v>79.488682468082175</c:v>
                </c:pt>
                <c:pt idx="99">
                  <c:v>66.317721360918085</c:v>
                </c:pt>
                <c:pt idx="100">
                  <c:v>55.186128290663561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A5-4F07-8C41-5F5887069D93}"/>
            </c:ext>
          </c:extLst>
        </c:ser>
        <c:ser>
          <c:idx val="0"/>
          <c:order val="2"/>
          <c:tx>
            <c:v>OTM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Greeks!$AG$12:$AG$112</c:f>
              <c:numCache>
                <c:formatCode>General</c:formatCode>
                <c:ptCount val="101"/>
                <c:pt idx="0">
                  <c:v>33659.271516337278</c:v>
                </c:pt>
                <c:pt idx="1">
                  <c:v>33630.978907101926</c:v>
                </c:pt>
                <c:pt idx="2">
                  <c:v>33582.828072010983</c:v>
                </c:pt>
                <c:pt idx="3">
                  <c:v>33512.649193334233</c:v>
                </c:pt>
                <c:pt idx="4">
                  <c:v>33418.202854384945</c:v>
                </c:pt>
                <c:pt idx="5">
                  <c:v>33297.206466555195</c:v>
                </c:pt>
                <c:pt idx="6">
                  <c:v>33147.364870696947</c:v>
                </c:pt>
                <c:pt idx="7">
                  <c:v>32966.404789375243</c:v>
                </c:pt>
                <c:pt idx="8">
                  <c:v>32752.112650271327</c:v>
                </c:pt>
                <c:pt idx="9">
                  <c:v>32502.375146581599</c:v>
                </c:pt>
                <c:pt idx="10">
                  <c:v>32215.221754232971</c:v>
                </c:pt>
                <c:pt idx="11">
                  <c:v>31888.868294872274</c:v>
                </c:pt>
                <c:pt idx="12">
                  <c:v>31521.760524488443</c:v>
                </c:pt>
                <c:pt idx="13">
                  <c:v>31112.616646276987</c:v>
                </c:pt>
                <c:pt idx="14">
                  <c:v>30660.467598199062</c:v>
                </c:pt>
                <c:pt idx="15">
                  <c:v>30164.69395468905</c:v>
                </c:pt>
                <c:pt idx="16">
                  <c:v>29625.058310763685</c:v>
                </c:pt>
                <c:pt idx="17">
                  <c:v>29041.73208637127</c:v>
                </c:pt>
                <c:pt idx="18">
                  <c:v>28415.315798432686</c:v>
                </c:pt>
                <c:pt idx="19">
                  <c:v>27746.851995092376</c:v>
                </c:pt>
                <c:pt idx="20">
                  <c:v>27037.830226931575</c:v>
                </c:pt>
                <c:pt idx="21">
                  <c:v>26290.183637419308</c:v>
                </c:pt>
                <c:pt idx="22">
                  <c:v>25506.276982483581</c:v>
                </c:pt>
                <c:pt idx="23">
                  <c:v>24688.886128563314</c:v>
                </c:pt>
                <c:pt idx="24">
                  <c:v>23841.169320979599</c:v>
                </c:pt>
                <c:pt idx="25">
                  <c:v>22966.630750870783</c:v>
                </c:pt>
                <c:pt idx="26">
                  <c:v>22069.077170365781</c:v>
                </c:pt>
                <c:pt idx="27">
                  <c:v>21152.568503854345</c:v>
                </c:pt>
                <c:pt idx="28">
                  <c:v>20221.363570858597</c:v>
                </c:pt>
                <c:pt idx="29">
                  <c:v>19279.862167146606</c:v>
                </c:pt>
                <c:pt idx="30">
                  <c:v>18332.544840957857</c:v>
                </c:pt>
                <c:pt idx="31">
                  <c:v>17383.911747872222</c:v>
                </c:pt>
                <c:pt idx="32">
                  <c:v>16438.42197012137</c:v>
                </c:pt>
                <c:pt idx="33">
                  <c:v>15500.43464498466</c:v>
                </c:pt>
                <c:pt idx="34">
                  <c:v>14574.15316502763</c:v>
                </c:pt>
                <c:pt idx="35">
                  <c:v>13663.573594543846</c:v>
                </c:pt>
                <c:pt idx="36">
                  <c:v>12772.438297160066</c:v>
                </c:pt>
                <c:pt idx="37">
                  <c:v>11904.195595642843</c:v>
                </c:pt>
                <c:pt idx="38">
                  <c:v>11061.96609365688</c:v>
                </c:pt>
                <c:pt idx="39">
                  <c:v>10248.516088025108</c:v>
                </c:pt>
                <c:pt idx="40">
                  <c:v>9466.2382963621785</c:v>
                </c:pt>
                <c:pt idx="41">
                  <c:v>8717.1399258934398</c:v>
                </c:pt>
                <c:pt idx="42">
                  <c:v>8002.8379212954533</c:v>
                </c:pt>
                <c:pt idx="43">
                  <c:v>7324.5610581267729</c:v>
                </c:pt>
                <c:pt idx="44">
                  <c:v>6683.1583984482377</c:v>
                </c:pt>
                <c:pt idx="45">
                  <c:v>6079.1135000139357</c:v>
                </c:pt>
                <c:pt idx="46">
                  <c:v>5512.5636722064655</c:v>
                </c:pt>
                <c:pt idx="47">
                  <c:v>4983.3235017652323</c:v>
                </c:pt>
                <c:pt idx="48">
                  <c:v>4490.911829258268</c:v>
                </c:pt>
                <c:pt idx="49">
                  <c:v>4034.5813420994609</c:v>
                </c:pt>
                <c:pt idx="50">
                  <c:v>3613.349959749602</c:v>
                </c:pt>
                <c:pt idx="51">
                  <c:v>3226.0332188837851</c:v>
                </c:pt>
                <c:pt idx="52">
                  <c:v>2871.2769175419357</c:v>
                </c:pt>
                <c:pt idx="53">
                  <c:v>2547.5893440318191</c:v>
                </c:pt>
                <c:pt idx="54">
                  <c:v>2253.3724948827835</c:v>
                </c:pt>
                <c:pt idx="55">
                  <c:v>1986.9517727037855</c:v>
                </c:pt>
                <c:pt idx="56">
                  <c:v>1746.6037457714665</c:v>
                </c:pt>
                <c:pt idx="57">
                  <c:v>1530.5816432220859</c:v>
                </c:pt>
                <c:pt idx="58">
                  <c:v>1337.1383498639218</c:v>
                </c:pt>
                <c:pt idx="59">
                  <c:v>1164.5467503181585</c:v>
                </c:pt>
                <c:pt idx="60">
                  <c:v>1011.1173513645833</c:v>
                </c:pt>
                <c:pt idx="61">
                  <c:v>875.21318243280371</c:v>
                </c:pt>
                <c:pt idx="62">
                  <c:v>755.26203604838531</c:v>
                </c:pt>
                <c:pt idx="63">
                  <c:v>649.76616208062535</c:v>
                </c:pt>
                <c:pt idx="64">
                  <c:v>557.30957163394567</c:v>
                </c:pt>
                <c:pt idx="65">
                  <c:v>476.56313853031202</c:v>
                </c:pt>
                <c:pt idx="66">
                  <c:v>406.28770900934882</c:v>
                </c:pt>
                <c:pt idx="67">
                  <c:v>345.33544423320643</c:v>
                </c:pt>
                <c:pt idx="68">
                  <c:v>292.6496263137218</c:v>
                </c:pt>
                <c:pt idx="69">
                  <c:v>247.26315789079169</c:v>
                </c:pt>
                <c:pt idx="70">
                  <c:v>208.29597885855307</c:v>
                </c:pt>
                <c:pt idx="71">
                  <c:v>174.95161275129189</c:v>
                </c:pt>
                <c:pt idx="72">
                  <c:v>146.51304062931976</c:v>
                </c:pt>
                <c:pt idx="73">
                  <c:v>122.3380830516609</c:v>
                </c:pt>
                <c:pt idx="74">
                  <c:v>101.85445180713307</c:v>
                </c:pt>
                <c:pt idx="75">
                  <c:v>84.554613314395155</c:v>
                </c:pt>
                <c:pt idx="76">
                  <c:v>69.990585696817334</c:v>
                </c:pt>
                <c:pt idx="77">
                  <c:v>57.768772072831297</c:v>
                </c:pt>
                <c:pt idx="78">
                  <c:v>47.544914042378828</c:v>
                </c:pt>
                <c:pt idx="79">
                  <c:v>39.019232048288735</c:v>
                </c:pt>
                <c:pt idx="80">
                  <c:v>31.931803497153894</c:v>
                </c:pt>
                <c:pt idx="81">
                  <c:v>26.058215393889281</c:v>
                </c:pt>
                <c:pt idx="82">
                  <c:v>21.205515853229389</c:v>
                </c:pt>
                <c:pt idx="83">
                  <c:v>17.208478207899059</c:v>
                </c:pt>
                <c:pt idx="84">
                  <c:v>13.926182490172479</c:v>
                </c:pt>
                <c:pt idx="85">
                  <c:v>11.238911731732316</c:v>
                </c:pt>
                <c:pt idx="86">
                  <c:v>9.0453546859269913</c:v>
                </c:pt>
                <c:pt idx="87">
                  <c:v>7.2601020857871612</c:v>
                </c:pt>
                <c:pt idx="88">
                  <c:v>5.8114202578417551</c:v>
                </c:pt>
                <c:pt idx="89">
                  <c:v>4.6392836589240432</c:v>
                </c:pt>
                <c:pt idx="90">
                  <c:v>3.6936465355942034</c:v>
                </c:pt>
                <c:pt idx="91">
                  <c:v>2.9329332748578403</c:v>
                </c:pt>
                <c:pt idx="92">
                  <c:v>2.3227269817760496</c:v>
                </c:pt>
                <c:pt idx="93">
                  <c:v>1.8346362579127988</c:v>
                </c:pt>
                <c:pt idx="94">
                  <c:v>1.4453209515986578</c:v>
                </c:pt>
                <c:pt idx="95">
                  <c:v>1.1356587082747809</c:v>
                </c:pt>
                <c:pt idx="96">
                  <c:v>0.89003538254595249</c:v>
                </c:pt>
                <c:pt idx="97">
                  <c:v>0.69574371258836021</c:v>
                </c:pt>
                <c:pt idx="98">
                  <c:v>0.54247604466009169</c:v>
                </c:pt>
                <c:pt idx="99">
                  <c:v>0.4218982848064417</c:v>
                </c:pt>
                <c:pt idx="100">
                  <c:v>0.3272936110584922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A5-4F07-8C41-5F588706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Rho</a:t>
            </a:r>
            <a:r>
              <a:rPr lang="en-US" altLang="ja-JP" baseline="0"/>
              <a:t> Put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ITM</c:v>
          </c:tx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Greeks!$AH$12:$AH$112</c:f>
              <c:numCache>
                <c:formatCode>General</c:formatCode>
                <c:ptCount val="101"/>
                <c:pt idx="0">
                  <c:v>-6.2845758569809382E-2</c:v>
                </c:pt>
                <c:pt idx="1">
                  <c:v>-8.9327970356832487E-2</c:v>
                </c:pt>
                <c:pt idx="2">
                  <c:v>-0.12620095589616809</c:v>
                </c:pt>
                <c:pt idx="3">
                  <c:v>-0.17722498861184247</c:v>
                </c:pt>
                <c:pt idx="4">
                  <c:v>-0.24739885424390942</c:v>
                </c:pt>
                <c:pt idx="5">
                  <c:v>-0.34332382211451995</c:v>
                </c:pt>
                <c:pt idx="6">
                  <c:v>-0.47365996009234457</c:v>
                </c:pt>
                <c:pt idx="7">
                  <c:v>-0.64969374643196032</c:v>
                </c:pt>
                <c:pt idx="8">
                  <c:v>-0.88603855804642184</c:v>
                </c:pt>
                <c:pt idx="9">
                  <c:v>-1.2014922639167549</c:v>
                </c:pt>
                <c:pt idx="10">
                  <c:v>-1.6200787166300299</c:v>
                </c:pt>
                <c:pt idx="11">
                  <c:v>-2.1723022783679613</c:v>
                </c:pt>
                <c:pt idx="12">
                  <c:v>-2.8966464743969706</c:v>
                </c:pt>
                <c:pt idx="13">
                  <c:v>-3.8413492423959661</c:v>
                </c:pt>
                <c:pt idx="14">
                  <c:v>-5.0664878179195512</c:v>
                </c:pt>
                <c:pt idx="15">
                  <c:v>-6.6464058202953513</c:v>
                </c:pt>
                <c:pt idx="16">
                  <c:v>-8.6725133186324719</c:v>
                </c:pt>
                <c:pt idx="17">
                  <c:v>-11.256487297031748</c:v>
                </c:pt>
                <c:pt idx="18">
                  <c:v>-14.533894739578194</c:v>
                </c:pt>
                <c:pt idx="19">
                  <c:v>-18.668253277336319</c:v>
                </c:pt>
                <c:pt idx="20">
                  <c:v>-23.85553477647888</c:v>
                </c:pt>
                <c:pt idx="21">
                  <c:v>-30.329105249793589</c:v>
                </c:pt>
                <c:pt idx="22">
                  <c:v>-38.365079969846562</c:v>
                </c:pt>
                <c:pt idx="23">
                  <c:v>-48.288055673501866</c:v>
                </c:pt>
                <c:pt idx="24">
                  <c:v>-60.477162411586932</c:v>
                </c:pt>
                <c:pt idx="25">
                  <c:v>-75.372356183046648</c:v>
                </c:pt>
                <c:pt idx="26">
                  <c:v>-93.480850413023219</c:v>
                </c:pt>
                <c:pt idx="27">
                  <c:v>-115.38356015411941</c:v>
                </c:pt>
                <c:pt idx="28">
                  <c:v>-141.74140832788066</c:v>
                </c:pt>
                <c:pt idx="29">
                  <c:v>-173.30131924354501</c:v>
                </c:pt>
                <c:pt idx="30">
                  <c:v>-210.90170202852454</c:v>
                </c:pt>
                <c:pt idx="31">
                  <c:v>-255.47720658033356</c:v>
                </c:pt>
                <c:pt idx="32">
                  <c:v>-308.06251837454607</c:v>
                </c:pt>
                <c:pt idx="33">
                  <c:v>-369.79494713747187</c:v>
                </c:pt>
                <c:pt idx="34">
                  <c:v>-441.91555919166404</c:v>
                </c:pt>
                <c:pt idx="35">
                  <c:v>-525.76860530260433</c:v>
                </c:pt>
                <c:pt idx="36">
                  <c:v>-622.79900604954207</c:v>
                </c:pt>
                <c:pt idx="37">
                  <c:v>-734.5476758622417</c:v>
                </c:pt>
                <c:pt idx="38">
                  <c:v>-862.64449539361578</c:v>
                </c:pt>
                <c:pt idx="39">
                  <c:v>-1008.7987800048436</c:v>
                </c:pt>
                <c:pt idx="40">
                  <c:v>-1174.7871396283147</c:v>
                </c:pt>
                <c:pt idx="41">
                  <c:v>-1362.4386815564246</c:v>
                </c:pt>
                <c:pt idx="42">
                  <c:v>-1573.6175717794977</c:v>
                </c:pt>
                <c:pt idx="43">
                  <c:v>-1810.2030409532865</c:v>
                </c:pt>
                <c:pt idx="44">
                  <c:v>-2074.0669961190215</c:v>
                </c:pt>
                <c:pt idx="45">
                  <c:v>-2367.0494767805799</c:v>
                </c:pt>
                <c:pt idx="46">
                  <c:v>-2690.9322714371488</c:v>
                </c:pt>
                <c:pt idx="47">
                  <c:v>-3047.4110855422846</c:v>
                </c:pt>
                <c:pt idx="48">
                  <c:v>-3438.0667213684628</c:v>
                </c:pt>
                <c:pt idx="49">
                  <c:v>-3864.3357916596556</c:v>
                </c:pt>
                <c:pt idx="50">
                  <c:v>-4327.4815396218837</c:v>
                </c:pt>
                <c:pt idx="51">
                  <c:v>-4828.5653753331089</c:v>
                </c:pt>
                <c:pt idx="52">
                  <c:v>-5368.4197609948114</c:v>
                </c:pt>
                <c:pt idx="53">
                  <c:v>-5947.6230829852529</c:v>
                </c:pt>
                <c:pt idx="54">
                  <c:v>-6566.4771363335676</c:v>
                </c:pt>
                <c:pt idx="55">
                  <c:v>-7224.9878165376012</c:v>
                </c:pt>
                <c:pt idx="56">
                  <c:v>-7922.8495647738036</c:v>
                </c:pt>
                <c:pt idx="57">
                  <c:v>-8659.4340463226727</c:v>
                </c:pt>
                <c:pt idx="58">
                  <c:v>-9433.7834599487687</c:v>
                </c:pt>
                <c:pt idx="59">
                  <c:v>-10244.608780128174</c:v>
                </c:pt>
                <c:pt idx="60">
                  <c:v>-11090.293127046187</c:v>
                </c:pt>
                <c:pt idx="61">
                  <c:v>-11968.900344283204</c:v>
                </c:pt>
                <c:pt idx="62">
                  <c:v>-12878.188744504287</c:v>
                </c:pt>
                <c:pt idx="63">
                  <c:v>-13815.629862887836</c:v>
                </c:pt>
                <c:pt idx="64">
                  <c:v>-14778.431940192757</c:v>
                </c:pt>
                <c:pt idx="65">
                  <c:v>-15763.567745889986</c:v>
                </c:pt>
                <c:pt idx="66">
                  <c:v>-16767.806250102225</c:v>
                </c:pt>
                <c:pt idx="67">
                  <c:v>-17787.747564285321</c:v>
                </c:pt>
                <c:pt idx="68">
                  <c:v>-18819.860497264155</c:v>
                </c:pt>
                <c:pt idx="69">
                  <c:v>-19860.522017495518</c:v>
                </c:pt>
                <c:pt idx="70">
                  <c:v>-20906.057875719769</c:v>
                </c:pt>
                <c:pt idx="71">
                  <c:v>-21952.783625288623</c:v>
                </c:pt>
                <c:pt idx="72">
                  <c:v>-22997.045280540955</c:v>
                </c:pt>
                <c:pt idx="73">
                  <c:v>-24035.258876105541</c:v>
                </c:pt>
                <c:pt idx="74">
                  <c:v>-25063.948230775979</c:v>
                </c:pt>
                <c:pt idx="75">
                  <c:v>-26079.780276908368</c:v>
                </c:pt>
                <c:pt idx="76">
                  <c:v>-27079.597387936457</c:v>
                </c:pt>
                <c:pt idx="77">
                  <c:v>-28060.446219999179</c:v>
                </c:pt>
                <c:pt idx="78">
                  <c:v>-29019.602675982824</c:v>
                </c:pt>
                <c:pt idx="79">
                  <c:v>-29954.592698482993</c:v>
                </c:pt>
                <c:pt idx="80">
                  <c:v>-30863.208699239327</c:v>
                </c:pt>
                <c:pt idx="81">
                  <c:v>-31743.521533503179</c:v>
                </c:pt>
                <c:pt idx="82">
                  <c:v>-32593.888025749413</c:v>
                </c:pt>
                <c:pt idx="83">
                  <c:v>-33412.954145572701</c:v>
                </c:pt>
                <c:pt idx="84">
                  <c:v>-34199.65401729101</c:v>
                </c:pt>
                <c:pt idx="85">
                  <c:v>-34953.20502185919</c:v>
                </c:pt>
                <c:pt idx="86">
                  <c:v>-35673.099313751118</c:v>
                </c:pt>
                <c:pt idx="87">
                  <c:v>-36359.0921275113</c:v>
                </c:pt>
                <c:pt idx="88">
                  <c:v>-37011.187288157882</c:v>
                </c:pt>
                <c:pt idx="89">
                  <c:v>-37629.62036641522</c:v>
                </c:pt>
                <c:pt idx="90">
                  <c:v>-38214.83993413781</c:v>
                </c:pt>
                <c:pt idx="91">
                  <c:v>-38767.48737787587</c:v>
                </c:pt>
                <c:pt idx="92">
                  <c:v>-39288.37572025408</c:v>
                </c:pt>
                <c:pt idx="93">
                  <c:v>-39778.467880846496</c:v>
                </c:pt>
                <c:pt idx="94">
                  <c:v>-40238.854781883798</c:v>
                </c:pt>
                <c:pt idx="95">
                  <c:v>-40670.733670886875</c:v>
                </c:pt>
                <c:pt idx="96">
                  <c:v>-41075.386993709537</c:v>
                </c:pt>
                <c:pt idx="97">
                  <c:v>-41454.162109024241</c:v>
                </c:pt>
                <c:pt idx="98">
                  <c:v>-41808.452090482235</c:v>
                </c:pt>
                <c:pt idx="99">
                  <c:v>-42139.677817021024</c:v>
                </c:pt>
                <c:pt idx="100">
                  <c:v>-42449.271506349382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1B-4DDF-B7DB-E859BFFCAD80}"/>
            </c:ext>
          </c:extLst>
        </c:ser>
        <c:ser>
          <c:idx val="2"/>
          <c:order val="1"/>
          <c:tx>
            <c:v>ATM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Greeks!$AI$12:$AI$112</c:f>
              <c:numCache>
                <c:formatCode>General</c:formatCode>
                <c:ptCount val="101"/>
                <c:pt idx="0">
                  <c:v>-12.189521611685128</c:v>
                </c:pt>
                <c:pt idx="1">
                  <c:v>-15.895259819132809</c:v>
                </c:pt>
                <c:pt idx="2">
                  <c:v>-20.609746800116</c:v>
                </c:pt>
                <c:pt idx="3">
                  <c:v>-26.572124764496468</c:v>
                </c:pt>
                <c:pt idx="4">
                  <c:v>-34.068496357271947</c:v>
                </c:pt>
                <c:pt idx="5">
                  <c:v>-43.438725875359552</c:v>
                </c:pt>
                <c:pt idx="6">
                  <c:v>-55.083676406183706</c:v>
                </c:pt>
                <c:pt idx="7">
                  <c:v>-69.472786736311775</c:v>
                </c:pt>
                <c:pt idx="8">
                  <c:v>-87.151860056979771</c:v>
                </c:pt>
                <c:pt idx="9">
                  <c:v>-108.75090280278977</c:v>
                </c:pt>
                <c:pt idx="10">
                  <c:v>-134.99181745512445</c:v>
                </c:pt>
                <c:pt idx="11">
                  <c:v>-166.69571911907161</c:v>
                </c:pt>
                <c:pt idx="12">
                  <c:v>-204.78961365569597</c:v>
                </c:pt>
                <c:pt idx="13">
                  <c:v>-250.31214681107886</c:v>
                </c:pt>
                <c:pt idx="14">
                  <c:v>-304.418110940752</c:v>
                </c:pt>
                <c:pt idx="15">
                  <c:v>-368.38138044032786</c:v>
                </c:pt>
                <c:pt idx="16">
                  <c:v>-443.59594067701869</c:v>
                </c:pt>
                <c:pt idx="17">
                  <c:v>-531.57467975019927</c:v>
                </c:pt>
                <c:pt idx="18">
                  <c:v>-633.94562922549778</c:v>
                </c:pt>
                <c:pt idx="19">
                  <c:v>-752.44537017132052</c:v>
                </c:pt>
                <c:pt idx="20">
                  <c:v>-888.90936501261899</c:v>
                </c:pt>
                <c:pt idx="21">
                  <c:v>-1045.259034000112</c:v>
                </c:pt>
                <c:pt idx="22">
                  <c:v>-1223.4854669597285</c:v>
                </c:pt>
                <c:pt idx="23">
                  <c:v>-1425.6297452688971</c:v>
                </c:pt>
                <c:pt idx="24">
                  <c:v>-1653.759943862003</c:v>
                </c:pt>
                <c:pt idx="25">
                  <c:v>-1909.9449860062705</c:v>
                </c:pt>
                <c:pt idx="26">
                  <c:v>-2196.2256315189047</c:v>
                </c:pt>
                <c:pt idx="27">
                  <c:v>-2514.5829884172731</c:v>
                </c:pt>
                <c:pt idx="28">
                  <c:v>-2866.9050447229392</c:v>
                </c:pt>
                <c:pt idx="29">
                  <c:v>-3254.9518170644037</c:v>
                </c:pt>
                <c:pt idx="30">
                  <c:v>-3680.3198015806242</c:v>
                </c:pt>
                <c:pt idx="31">
                  <c:v>-4144.4064862928499</c:v>
                </c:pt>
                <c:pt idx="32">
                  <c:v>-4648.375738811932</c:v>
                </c:pt>
                <c:pt idx="33">
                  <c:v>-5193.124915731386</c:v>
                </c:pt>
                <c:pt idx="34">
                  <c:v>-5779.2545477979329</c:v>
                </c:pt>
                <c:pt idx="35">
                  <c:v>-6407.0414362805159</c:v>
                </c:pt>
                <c:pt idx="36">
                  <c:v>-7076.4159501958011</c:v>
                </c:pt>
                <c:pt idx="37">
                  <c:v>-7786.9442415595286</c:v>
                </c:pt>
                <c:pt idx="38">
                  <c:v>-8537.815998067601</c:v>
                </c:pt>
                <c:pt idx="39">
                  <c:v>-9327.8382320692072</c:v>
                </c:pt>
                <c:pt idx="40">
                  <c:v>-10155.435464844439</c:v>
                </c:pt>
                <c:pt idx="41">
                  <c:v>-11018.656510357627</c:v>
                </c:pt>
                <c:pt idx="42">
                  <c:v>-11915.187897818472</c:v>
                </c:pt>
                <c:pt idx="43">
                  <c:v>-12842.373803002711</c:v>
                </c:pt>
                <c:pt idx="44">
                  <c:v>-13797.242190077603</c:v>
                </c:pt>
                <c:pt idx="45">
                  <c:v>-14776.536704343751</c:v>
                </c:pt>
                <c:pt idx="46">
                  <c:v>-15776.753707325182</c:v>
                </c:pt>
                <c:pt idx="47">
                  <c:v>-16794.18371400984</c:v>
                </c:pt>
                <c:pt idx="48">
                  <c:v>-17824.956382103646</c:v>
                </c:pt>
                <c:pt idx="49">
                  <c:v>-18865.088118390857</c:v>
                </c:pt>
                <c:pt idx="50">
                  <c:v>-19910.531310209306</c:v>
                </c:pt>
                <c:pt idx="51">
                  <c:v>-20957.224162093604</c:v>
                </c:pt>
                <c:pt idx="52">
                  <c:v>-22001.140119168485</c:v>
                </c:pt>
                <c:pt idx="53">
                  <c:v>-23038.335889153361</c:v>
                </c:pt>
                <c:pt idx="54">
                  <c:v>-24064.997132119708</c:v>
                </c:pt>
                <c:pt idx="55">
                  <c:v>-25077.480968756747</c:v>
                </c:pt>
                <c:pt idx="56">
                  <c:v>-26072.354560410477</c:v>
                </c:pt>
                <c:pt idx="57">
                  <c:v>-27046.429133518166</c:v>
                </c:pt>
                <c:pt idx="58">
                  <c:v>-27996.788952800791</c:v>
                </c:pt>
                <c:pt idx="59">
                  <c:v>-28920.814887014578</c:v>
                </c:pt>
                <c:pt idx="60">
                  <c:v>-29816.202353477463</c:v>
                </c:pt>
                <c:pt idx="61">
                  <c:v>-30680.973568420228</c:v>
                </c:pt>
                <c:pt idx="62">
                  <c:v>-31513.484165222268</c:v>
                </c:pt>
                <c:pt idx="63">
                  <c:v>-32312.42436800243</c:v>
                </c:pt>
                <c:pt idx="64">
                  <c:v>-33076.815020645889</c:v>
                </c:pt>
                <c:pt idx="65">
                  <c:v>-33805.998868613839</c:v>
                </c:pt>
                <c:pt idx="66">
                  <c:v>-34499.627570965218</c:v>
                </c:pt>
                <c:pt idx="67">
                  <c:v>-35157.644981796235</c:v>
                </c:pt>
                <c:pt idx="68">
                  <c:v>-35780.26728335589</c:v>
                </c:pt>
                <c:pt idx="69">
                  <c:v>-36367.960577662234</c:v>
                </c:pt>
                <c:pt idx="70">
                  <c:v>-36921.416550357972</c:v>
                </c:pt>
                <c:pt idx="71">
                  <c:v>-37441.526811144468</c:v>
                </c:pt>
                <c:pt idx="72">
                  <c:v>-37929.356491171508</c:v>
                </c:pt>
                <c:pt idx="73">
                  <c:v>-38386.117641298028</c:v>
                </c:pt>
                <c:pt idx="74">
                  <c:v>-38813.142928437068</c:v>
                </c:pt>
                <c:pt idx="75">
                  <c:v>-39211.860072621464</c:v>
                </c:pt>
                <c:pt idx="76">
                  <c:v>-39583.76740734472</c:v>
                </c:pt>
                <c:pt idx="77">
                  <c:v>-39930.410882432894</c:v>
                </c:pt>
                <c:pt idx="78">
                  <c:v>-40253.362764328172</c:v>
                </c:pt>
                <c:pt idx="79">
                  <c:v>-40554.202225142515</c:v>
                </c:pt>
                <c:pt idx="80">
                  <c:v>-40834.497950847777</c:v>
                </c:pt>
                <c:pt idx="81">
                  <c:v>-41095.792841905284</c:v>
                </c:pt>
                <c:pt idx="82">
                  <c:v>-41339.59082760755</c:v>
                </c:pt>
                <c:pt idx="83">
                  <c:v>-41567.345769217995</c:v>
                </c:pt>
                <c:pt idx="84">
                  <c:v>-41780.452387175945</c:v>
                </c:pt>
                <c:pt idx="85">
                  <c:v>-41980.239114447912</c:v>
                </c:pt>
                <c:pt idx="86">
                  <c:v>-42167.962751574349</c:v>
                </c:pt>
                <c:pt idx="87">
                  <c:v>-42344.804778903599</c:v>
                </c:pt>
                <c:pt idx="88">
                  <c:v>-42511.869167569763</c:v>
                </c:pt>
                <c:pt idx="89">
                  <c:v>-42670.181522472842</c:v>
                </c:pt>
                <c:pt idx="90">
                  <c:v>-42820.689387272265</c:v>
                </c:pt>
                <c:pt idx="91">
                  <c:v>-42964.263542560671</c:v>
                </c:pt>
                <c:pt idx="92">
                  <c:v>-43101.700133261169</c:v>
                </c:pt>
                <c:pt idx="93">
                  <c:v>-43233.723469198296</c:v>
                </c:pt>
                <c:pt idx="94">
                  <c:v>-43360.989353062207</c:v>
                </c:pt>
                <c:pt idx="95">
                  <c:v>-43484.088801980579</c:v>
                </c:pt>
                <c:pt idx="96">
                  <c:v>-43603.552042051924</c:v>
                </c:pt>
                <c:pt idx="97">
                  <c:v>-43719.852668954489</c:v>
                </c:pt>
                <c:pt idx="98">
                  <c:v>-43833.411881674547</c:v>
                </c:pt>
                <c:pt idx="99">
                  <c:v>-43944.602710112398</c:v>
                </c:pt>
                <c:pt idx="100">
                  <c:v>-44053.754170513326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1B-4DDF-B7DB-E859BFFCAD80}"/>
            </c:ext>
          </c:extLst>
        </c:ser>
        <c:ser>
          <c:idx val="0"/>
          <c:order val="2"/>
          <c:tx>
            <c:v>OTM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Greeks!$AJ$12:$AJ$112</c:f>
              <c:numCache>
                <c:formatCode>General</c:formatCode>
                <c:ptCount val="101"/>
                <c:pt idx="0">
                  <c:v>-647.68204939915347</c:v>
                </c:pt>
                <c:pt idx="1">
                  <c:v>-773.99452596519006</c:v>
                </c:pt>
                <c:pt idx="2">
                  <c:v>-920.16522838680442</c:v>
                </c:pt>
                <c:pt idx="3">
                  <c:v>-1088.3639743942251</c:v>
                </c:pt>
                <c:pt idx="4">
                  <c:v>-1280.8301806741922</c:v>
                </c:pt>
                <c:pt idx="5">
                  <c:v>-1499.8464358346157</c:v>
                </c:pt>
                <c:pt idx="6">
                  <c:v>-1747.7078990235391</c:v>
                </c:pt>
                <c:pt idx="7">
                  <c:v>-2026.6878476759218</c:v>
                </c:pt>
                <c:pt idx="8">
                  <c:v>-2338.9998541105119</c:v>
                </c:pt>
                <c:pt idx="9">
                  <c:v>-2686.7572251309111</c:v>
                </c:pt>
                <c:pt idx="10">
                  <c:v>-3071.9304848102151</c:v>
                </c:pt>
                <c:pt idx="11">
                  <c:v>-3496.3038115015934</c:v>
                </c:pt>
                <c:pt idx="12">
                  <c:v>-3961.4314492160938</c:v>
                </c:pt>
                <c:pt idx="13">
                  <c:v>-4468.5951947582271</c:v>
                </c:pt>
                <c:pt idx="14">
                  <c:v>-5018.7641101668296</c:v>
                </c:pt>
                <c:pt idx="15">
                  <c:v>-5612.5576210075133</c:v>
                </c:pt>
                <c:pt idx="16">
                  <c:v>-6250.2131322635569</c:v>
                </c:pt>
                <c:pt idx="17">
                  <c:v>-6931.5592239866519</c:v>
                </c:pt>
                <c:pt idx="18">
                  <c:v>-7655.9953792559081</c:v>
                </c:pt>
                <c:pt idx="19">
                  <c:v>-8422.4790499268856</c:v>
                </c:pt>
                <c:pt idx="20">
                  <c:v>-9229.5206854183689</c:v>
                </c:pt>
                <c:pt idx="21">
                  <c:v>-10075.187142261311</c:v>
                </c:pt>
                <c:pt idx="22">
                  <c:v>-10957.113664527709</c:v>
                </c:pt>
                <c:pt idx="23">
                  <c:v>-11872.524385778661</c:v>
                </c:pt>
                <c:pt idx="24">
                  <c:v>-12818.261060693047</c:v>
                </c:pt>
                <c:pt idx="25">
                  <c:v>-13790.819498132536</c:v>
                </c:pt>
                <c:pt idx="26">
                  <c:v>-14786.392945968219</c:v>
                </c:pt>
                <c:pt idx="27">
                  <c:v>-15800.921479810329</c:v>
                </c:pt>
                <c:pt idx="28">
                  <c:v>-16830.146280136749</c:v>
                </c:pt>
                <c:pt idx="29">
                  <c:v>-17869.667551179424</c:v>
                </c:pt>
                <c:pt idx="30">
                  <c:v>-18915.004744698839</c:v>
                </c:pt>
                <c:pt idx="31">
                  <c:v>-19961.657705115154</c:v>
                </c:pt>
                <c:pt idx="32">
                  <c:v>-21005.167350196687</c:v>
                </c:pt>
                <c:pt idx="33">
                  <c:v>-22041.17454266407</c:v>
                </c:pt>
                <c:pt idx="34">
                  <c:v>-23065.475889951773</c:v>
                </c:pt>
                <c:pt idx="35">
                  <c:v>-24074.075327766233</c:v>
                </c:pt>
                <c:pt idx="36">
                  <c:v>-25063.230492480689</c:v>
                </c:pt>
                <c:pt idx="37">
                  <c:v>-26029.493061328583</c:v>
                </c:pt>
                <c:pt idx="38">
                  <c:v>-26969.742430645227</c:v>
                </c:pt>
                <c:pt idx="39">
                  <c:v>-27881.212303607674</c:v>
                </c:pt>
                <c:pt idx="40">
                  <c:v>-28761.509962601274</c:v>
                </c:pt>
                <c:pt idx="41">
                  <c:v>-29608.62820040069</c:v>
                </c:pt>
                <c:pt idx="42">
                  <c:v>-30420.950072329353</c:v>
                </c:pt>
                <c:pt idx="43">
                  <c:v>-31197.246802828708</c:v>
                </c:pt>
                <c:pt idx="44">
                  <c:v>-31936.669329837925</c:v>
                </c:pt>
                <c:pt idx="45">
                  <c:v>-32638.7340956029</c:v>
                </c:pt>
                <c:pt idx="46">
                  <c:v>-33303.30379074104</c:v>
                </c:pt>
                <c:pt idx="47">
                  <c:v>-33930.563828512953</c:v>
                </c:pt>
                <c:pt idx="48">
                  <c:v>-34520.995368350588</c:v>
                </c:pt>
                <c:pt idx="49">
                  <c:v>-35075.345722840073</c:v>
                </c:pt>
                <c:pt idx="50">
                  <c:v>-35594.596972520609</c:v>
                </c:pt>
                <c:pt idx="51">
                  <c:v>-36079.933580717101</c:v>
                </c:pt>
                <c:pt idx="52">
                  <c:v>-36532.709749389629</c:v>
                </c:pt>
                <c:pt idx="53">
                  <c:v>-36954.417190230422</c:v>
                </c:pt>
                <c:pt idx="54">
                  <c:v>-37346.653906710126</c:v>
                </c:pt>
                <c:pt idx="55">
                  <c:v>-37711.094496219797</c:v>
                </c:pt>
                <c:pt idx="56">
                  <c:v>-38049.462390482797</c:v>
                </c:pt>
                <c:pt idx="57">
                  <c:v>-38363.504360362851</c:v>
                </c:pt>
                <c:pt idx="58">
                  <c:v>-38654.967521051694</c:v>
                </c:pt>
                <c:pt idx="59">
                  <c:v>-38925.578987928129</c:v>
                </c:pt>
                <c:pt idx="60">
                  <c:v>-39177.028254212382</c:v>
                </c:pt>
                <c:pt idx="61">
                  <c:v>-39410.952290474837</c:v>
                </c:pt>
                <c:pt idx="62">
                  <c:v>-39628.923304189928</c:v>
                </c:pt>
                <c:pt idx="63">
                  <c:v>-39832.439045488369</c:v>
                </c:pt>
                <c:pt idx="64">
                  <c:v>-40022.915503265722</c:v>
                </c:pt>
                <c:pt idx="65">
                  <c:v>-40201.681803700027</c:v>
                </c:pt>
                <c:pt idx="66">
                  <c:v>-40369.977100551674</c:v>
                </c:pt>
                <c:pt idx="67">
                  <c:v>-40528.949232658488</c:v>
                </c:pt>
                <c:pt idx="68">
                  <c:v>-40679.654917908643</c:v>
                </c:pt>
                <c:pt idx="69">
                  <c:v>-40823.061253662258</c:v>
                </c:pt>
                <c:pt idx="70">
                  <c:v>-40960.04830002517</c:v>
                </c:pt>
                <c:pt idx="71">
                  <c:v>-41091.412533463103</c:v>
                </c:pt>
                <c:pt idx="72">
                  <c:v>-41217.870972915756</c:v>
                </c:pt>
                <c:pt idx="73">
                  <c:v>-41340.065797824085</c:v>
                </c:pt>
                <c:pt idx="74">
                  <c:v>-41458.569296399291</c:v>
                </c:pt>
                <c:pt idx="75">
                  <c:v>-41573.889002222706</c:v>
                </c:pt>
                <c:pt idx="76">
                  <c:v>-41686.472897170956</c:v>
                </c:pt>
                <c:pt idx="77">
                  <c:v>-41796.714578125611</c:v>
                </c:pt>
                <c:pt idx="78">
                  <c:v>-41904.958303486746</c:v>
                </c:pt>
                <c:pt idx="79">
                  <c:v>-42011.503852811511</c:v>
                </c:pt>
                <c:pt idx="80">
                  <c:v>-42116.611148693315</c:v>
                </c:pt>
                <c:pt idx="81">
                  <c:v>-42220.504604127265</c:v>
                </c:pt>
                <c:pt idx="82">
                  <c:v>-42323.377170998603</c:v>
                </c:pt>
                <c:pt idx="83">
                  <c:v>-42425.394075974604</c:v>
                </c:pt>
                <c:pt idx="84">
                  <c:v>-42526.696239023011</c:v>
                </c:pt>
                <c:pt idx="85">
                  <c:v>-42627.403377112118</c:v>
                </c:pt>
                <c:pt idx="86">
                  <c:v>-42727.616801488599</c:v>
                </c:pt>
                <c:pt idx="87">
                  <c:v>-42827.421921419424</c:v>
                </c:pt>
                <c:pt idx="88">
                  <c:v>-42926.890470578037</c:v>
                </c:pt>
                <c:pt idx="89">
                  <c:v>-43026.082474507632</c:v>
                </c:pt>
                <c:pt idx="90">
                  <c:v>-43125.047978961637</c:v>
                </c:pt>
                <c:pt idx="91">
                  <c:v>-43223.828559553047</c:v>
                </c:pt>
                <c:pt idx="92">
                  <c:v>-43322.458633176808</c:v>
                </c:pt>
                <c:pt idx="93">
                  <c:v>-43420.96659123135</c:v>
                </c:pt>
                <c:pt idx="94">
                  <c:v>-43519.375773868334</c:v>
                </c:pt>
                <c:pt idx="95">
                  <c:v>-43617.70530344233</c:v>
                </c:pt>
                <c:pt idx="96">
                  <c:v>-43715.970794098743</c:v>
                </c:pt>
                <c:pt idx="97">
                  <c:v>-43814.184953099371</c:v>
                </c:pt>
                <c:pt idx="98">
                  <c:v>-43912.358088097972</c:v>
                </c:pt>
                <c:pt idx="99">
                  <c:v>-44010.498533188504</c:v>
                </c:pt>
                <c:pt idx="100">
                  <c:v>-44108.613005192929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1B-4DDF-B7DB-E859BFFCA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Sigma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各パラメータごとの形状!$C$12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各パラメータごとの形状!$B$13:$B$28</c:f>
              <c:numCache>
                <c:formatCode>General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各パラメータごとの形状!$C$13:$C$28</c:f>
              <c:numCache>
                <c:formatCode>General</c:formatCode>
                <c:ptCount val="16"/>
                <c:pt idx="0">
                  <c:v>5693.5966190913314</c:v>
                </c:pt>
                <c:pt idx="1">
                  <c:v>5696.7514825565158</c:v>
                </c:pt>
                <c:pt idx="2">
                  <c:v>5705.9559832897794</c:v>
                </c:pt>
                <c:pt idx="3">
                  <c:v>5724.1932162495505</c:v>
                </c:pt>
                <c:pt idx="4">
                  <c:v>5753.1000981120669</c:v>
                </c:pt>
                <c:pt idx="5">
                  <c:v>5793.0745647232725</c:v>
                </c:pt>
                <c:pt idx="6">
                  <c:v>5843.7105572154251</c:v>
                </c:pt>
                <c:pt idx="7">
                  <c:v>5904.1857297711758</c:v>
                </c:pt>
                <c:pt idx="8">
                  <c:v>5973.5174774969673</c:v>
                </c:pt>
                <c:pt idx="9">
                  <c:v>6050.7084744398671</c:v>
                </c:pt>
                <c:pt idx="10">
                  <c:v>6134.8199677815101</c:v>
                </c:pt>
                <c:pt idx="11">
                  <c:v>6225.0029281228381</c:v>
                </c:pt>
                <c:pt idx="12">
                  <c:v>6320.5063984531371</c:v>
                </c:pt>
                <c:pt idx="13">
                  <c:v>6420.674396414146</c:v>
                </c:pt>
                <c:pt idx="14">
                  <c:v>6524.9376864307669</c:v>
                </c:pt>
                <c:pt idx="15">
                  <c:v>6632.8037845021099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78-4F9E-9F07-52BF9B89340C}"/>
            </c:ext>
          </c:extLst>
        </c:ser>
        <c:ser>
          <c:idx val="1"/>
          <c:order val="1"/>
          <c:tx>
            <c:strRef>
              <c:f>各パラメータごとの形状!$D$12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各パラメータごとの形状!$B$13:$B$28</c:f>
              <c:numCache>
                <c:formatCode>General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各パラメータごとの形状!$D$13:$D$28</c:f>
              <c:numCache>
                <c:formatCode>General</c:formatCode>
                <c:ptCount val="16"/>
                <c:pt idx="0">
                  <c:v>1092.2420112201835</c:v>
                </c:pt>
                <c:pt idx="1">
                  <c:v>1221.5210541063825</c:v>
                </c:pt>
                <c:pt idx="2">
                  <c:v>1353.2643374715408</c:v>
                </c:pt>
                <c:pt idx="3">
                  <c:v>1486.5613502598972</c:v>
                </c:pt>
                <c:pt idx="4">
                  <c:v>1620.8933504340057</c:v>
                </c:pt>
                <c:pt idx="5">
                  <c:v>1755.9432121918435</c:v>
                </c:pt>
                <c:pt idx="6">
                  <c:v>1891.5058851451904</c:v>
                </c:pt>
                <c:pt idx="7">
                  <c:v>2027.4425625007389</c:v>
                </c:pt>
                <c:pt idx="8">
                  <c:v>2163.6555939677091</c:v>
                </c:pt>
                <c:pt idx="9">
                  <c:v>2300.0739775284128</c:v>
                </c:pt>
                <c:pt idx="10">
                  <c:v>2436.644575593953</c:v>
                </c:pt>
                <c:pt idx="11">
                  <c:v>2573.3265866897818</c:v>
                </c:pt>
                <c:pt idx="12">
                  <c:v>2710.0879485862934</c:v>
                </c:pt>
                <c:pt idx="13">
                  <c:v>2846.9029297891793</c:v>
                </c:pt>
                <c:pt idx="14">
                  <c:v>2983.7504756967901</c:v>
                </c:pt>
                <c:pt idx="15">
                  <c:v>3120.6130475003883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78-4F9E-9F07-52BF9B89340C}"/>
            </c:ext>
          </c:extLst>
        </c:ser>
        <c:ser>
          <c:idx val="2"/>
          <c:order val="2"/>
          <c:tx>
            <c:strRef>
              <c:f>各パラメータごとの形状!$E$12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各パラメータごとの形状!$B$13:$B$28</c:f>
              <c:numCache>
                <c:formatCode>General</c:formatCode>
                <c:ptCount val="1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</c:numCache>
            </c:numRef>
          </c:xVal>
          <c:yVal>
            <c:numRef>
              <c:f>各パラメータごとの形状!$E$13:$E$28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8.4872383303386414</c:v>
                </c:pt>
                <c:pt idx="2">
                  <c:v>23.772946875527168</c:v>
                </c:pt>
                <c:pt idx="3">
                  <c:v>49.615314673658531</c:v>
                </c:pt>
                <c:pt idx="4">
                  <c:v>86.391847534212957</c:v>
                </c:pt>
                <c:pt idx="5">
                  <c:v>133.51818454345675</c:v>
                </c:pt>
                <c:pt idx="6">
                  <c:v>189.97807426346571</c:v>
                </c:pt>
                <c:pt idx="7">
                  <c:v>254.63959773933675</c:v>
                </c:pt>
                <c:pt idx="8">
                  <c:v>326.41271801455605</c:v>
                </c:pt>
                <c:pt idx="9">
                  <c:v>404.31498434990863</c:v>
                </c:pt>
                <c:pt idx="10">
                  <c:v>487.49009525564634</c:v>
                </c:pt>
                <c:pt idx="11">
                  <c:v>575.20449174853638</c:v>
                </c:pt>
                <c:pt idx="12">
                  <c:v>666.83502223888445</c:v>
                </c:pt>
                <c:pt idx="13">
                  <c:v>761.85404221985937</c:v>
                </c:pt>
                <c:pt idx="14">
                  <c:v>859.81484454698239</c:v>
                </c:pt>
                <c:pt idx="15">
                  <c:v>960.33858534784849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78-4F9E-9F07-52BF9B893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153904"/>
        <c:axId val="1565349296"/>
      </c:scatterChart>
      <c:valAx>
        <c:axId val="156615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5349296"/>
        <c:crosses val="autoZero"/>
        <c:crossBetween val="midCat"/>
      </c:valAx>
      <c:valAx>
        <c:axId val="156534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615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279517057684856"/>
          <c:y val="0.17019485012685817"/>
          <c:w val="0.83019112097810788"/>
          <c:h val="0.7443966799597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各パラメータごとの形状!$M$12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各パラメータごとの形状!$M$13:$M$28</c:f>
              <c:numCache>
                <c:formatCode>General</c:formatCode>
                <c:ptCount val="16"/>
                <c:pt idx="0">
                  <c:v>5693.5966190913314</c:v>
                </c:pt>
                <c:pt idx="1">
                  <c:v>6034.6683913259039</c:v>
                </c:pt>
                <c:pt idx="2">
                  <c:v>6372.4900819838658</c:v>
                </c:pt>
                <c:pt idx="3">
                  <c:v>6707.0235485164594</c:v>
                </c:pt>
                <c:pt idx="4">
                  <c:v>7038.2641602287549</c:v>
                </c:pt>
                <c:pt idx="5">
                  <c:v>7366.2257173095168</c:v>
                </c:pt>
                <c:pt idx="6">
                  <c:v>7690.9316173403786</c:v>
                </c:pt>
                <c:pt idx="7">
                  <c:v>8012.4099480764962</c:v>
                </c:pt>
                <c:pt idx="8">
                  <c:v>8330.6908973319041</c:v>
                </c:pt>
                <c:pt idx="9">
                  <c:v>8645.8054525129592</c:v>
                </c:pt>
                <c:pt idx="10">
                  <c:v>8957.7847792287102</c:v>
                </c:pt>
                <c:pt idx="11">
                  <c:v>9266.6599389912299</c:v>
                </c:pt>
                <c:pt idx="12">
                  <c:v>9572.4617677761889</c:v>
                </c:pt>
                <c:pt idx="13">
                  <c:v>9875.2208271815798</c:v>
                </c:pt>
                <c:pt idx="14">
                  <c:v>10174.967386788408</c:v>
                </c:pt>
                <c:pt idx="15">
                  <c:v>10471.731419298179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10-4F44-93DE-4F457ACF80FF}"/>
            </c:ext>
          </c:extLst>
        </c:ser>
        <c:ser>
          <c:idx val="1"/>
          <c:order val="1"/>
          <c:tx>
            <c:strRef>
              <c:f>各パラメータごとの形状!$N$12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各パラメータごとの形状!$N$13:$N$28</c:f>
              <c:numCache>
                <c:formatCode>General</c:formatCode>
                <c:ptCount val="16"/>
                <c:pt idx="0">
                  <c:v>1092.2420112201835</c:v>
                </c:pt>
                <c:pt idx="1">
                  <c:v>1325.1400597337451</c:v>
                </c:pt>
                <c:pt idx="2">
                  <c:v>1578.5288171349675</c:v>
                </c:pt>
                <c:pt idx="3">
                  <c:v>1849.1441456774737</c:v>
                </c:pt>
                <c:pt idx="4">
                  <c:v>2133.4989184601982</c:v>
                </c:pt>
                <c:pt idx="5">
                  <c:v>2428.1647753386642</c:v>
                </c:pt>
                <c:pt idx="6">
                  <c:v>2729.9974868062418</c:v>
                </c:pt>
                <c:pt idx="7">
                  <c:v>3036.2858070062248</c:v>
                </c:pt>
                <c:pt idx="8">
                  <c:v>3344.8209570653999</c:v>
                </c:pt>
                <c:pt idx="9">
                  <c:v>3653.8978166346787</c:v>
                </c:pt>
                <c:pt idx="10">
                  <c:v>3962.2670916270908</c:v>
                </c:pt>
                <c:pt idx="11">
                  <c:v>4269.0598586964879</c:v>
                </c:pt>
                <c:pt idx="12">
                  <c:v>4573.7032867676207</c:v>
                </c:pt>
                <c:pt idx="13">
                  <c:v>4875.8411043635933</c:v>
                </c:pt>
                <c:pt idx="14">
                  <c:v>5175.266561827586</c:v>
                </c:pt>
                <c:pt idx="15">
                  <c:v>5471.8706769911478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10-4F44-93DE-4F457ACF80FF}"/>
            </c:ext>
          </c:extLst>
        </c:ser>
        <c:ser>
          <c:idx val="2"/>
          <c:order val="2"/>
          <c:tx>
            <c:strRef>
              <c:f>各パラメータごとの形状!$O$12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各パラメータごとの形状!$O$13:$O$28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3.3703020822162841</c:v>
                </c:pt>
                <c:pt idx="2">
                  <c:v>6.109291526686377</c:v>
                </c:pt>
                <c:pt idx="3">
                  <c:v>10.708112454806724</c:v>
                </c:pt>
                <c:pt idx="4">
                  <c:v>18.158383460987352</c:v>
                </c:pt>
                <c:pt idx="5">
                  <c:v>29.809273411890899</c:v>
                </c:pt>
                <c:pt idx="6">
                  <c:v>47.405794482001966</c:v>
                </c:pt>
                <c:pt idx="7">
                  <c:v>73.087622387982719</c:v>
                </c:pt>
                <c:pt idx="8">
                  <c:v>109.33224302265171</c:v>
                </c:pt>
                <c:pt idx="9">
                  <c:v>158.83264057542056</c:v>
                </c:pt>
                <c:pt idx="10">
                  <c:v>224.31107113054895</c:v>
                </c:pt>
                <c:pt idx="11">
                  <c:v>308.28484837902761</c:v>
                </c:pt>
                <c:pt idx="12">
                  <c:v>412.8140306653313</c:v>
                </c:pt>
                <c:pt idx="13">
                  <c:v>539.27023066397305</c:v>
                </c:pt>
                <c:pt idx="14">
                  <c:v>688.166927950424</c:v>
                </c:pt>
                <c:pt idx="15">
                  <c:v>859.08319372338519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10-4F44-93DE-4F457ACF8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424592"/>
        <c:axId val="1986425072"/>
      </c:scatterChart>
      <c:valAx>
        <c:axId val="198642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6425072"/>
        <c:crosses val="autoZero"/>
        <c:crossBetween val="midCat"/>
      </c:valAx>
      <c:valAx>
        <c:axId val="198642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642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各パラメータごとの形状!$R$12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各パラメータごとの形状!$Q$13:$Q$28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xVal>
          <c:yVal>
            <c:numRef>
              <c:f>各パラメータごとの形状!$R$13:$R$28</c:f>
              <c:numCache>
                <c:formatCode>General</c:formatCode>
                <c:ptCount val="16"/>
                <c:pt idx="0">
                  <c:v>5002.1818468785132</c:v>
                </c:pt>
                <c:pt idx="1">
                  <c:v>8330.6908973319041</c:v>
                </c:pt>
                <c:pt idx="2">
                  <c:v>11344.423642273734</c:v>
                </c:pt>
                <c:pt idx="3">
                  <c:v>14071.362276139873</c:v>
                </c:pt>
                <c:pt idx="4">
                  <c:v>16538.798388752624</c:v>
                </c:pt>
                <c:pt idx="5">
                  <c:v>18771.426910057831</c:v>
                </c:pt>
                <c:pt idx="6">
                  <c:v>20791.592736709074</c:v>
                </c:pt>
                <c:pt idx="7">
                  <c:v>22619.514367300668</c:v>
                </c:pt>
                <c:pt idx="8">
                  <c:v>24273.486255897245</c:v>
                </c:pt>
                <c:pt idx="9">
                  <c:v>25770.061909079031</c:v>
                </c:pt>
                <c:pt idx="10">
                  <c:v>27124.219558999517</c:v>
                </c:pt>
                <c:pt idx="11">
                  <c:v>28349.512070567216</c:v>
                </c:pt>
                <c:pt idx="12">
                  <c:v>29458.202583072925</c:v>
                </c:pt>
                <c:pt idx="13">
                  <c:v>30461.387243809557</c:v>
                </c:pt>
                <c:pt idx="14">
                  <c:v>31369.106262043773</c:v>
                </c:pt>
                <c:pt idx="15">
                  <c:v>32190.444394804956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44-4A54-8D7D-3023023C3631}"/>
            </c:ext>
          </c:extLst>
        </c:ser>
        <c:ser>
          <c:idx val="1"/>
          <c:order val="1"/>
          <c:tx>
            <c:strRef>
              <c:f>各パラメータごとの形状!$S$12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各パラメータごとの形状!$Q$13:$Q$28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xVal>
          <c:yVal>
            <c:numRef>
              <c:f>各パラメータごとの形状!$S$13:$S$28</c:f>
              <c:numCache>
                <c:formatCode>General</c:formatCode>
                <c:ptCount val="16"/>
                <c:pt idx="0">
                  <c:v>698.07627366666566</c:v>
                </c:pt>
                <c:pt idx="1">
                  <c:v>3344.8209570653999</c:v>
                </c:pt>
                <c:pt idx="2">
                  <c:v>6344.4349533237582</c:v>
                </c:pt>
                <c:pt idx="3">
                  <c:v>9071.3622763753192</c:v>
                </c:pt>
                <c:pt idx="4">
                  <c:v>11538.798388752621</c:v>
                </c:pt>
                <c:pt idx="5">
                  <c:v>13771.426910057831</c:v>
                </c:pt>
                <c:pt idx="6">
                  <c:v>15791.592736709074</c:v>
                </c:pt>
                <c:pt idx="7">
                  <c:v>17619.514367300668</c:v>
                </c:pt>
                <c:pt idx="8">
                  <c:v>19273.486255897245</c:v>
                </c:pt>
                <c:pt idx="9">
                  <c:v>20770.061909079031</c:v>
                </c:pt>
                <c:pt idx="10">
                  <c:v>22124.219558999517</c:v>
                </c:pt>
                <c:pt idx="11">
                  <c:v>23349.512070567216</c:v>
                </c:pt>
                <c:pt idx="12">
                  <c:v>24458.202583072925</c:v>
                </c:pt>
                <c:pt idx="13">
                  <c:v>25461.387243809557</c:v>
                </c:pt>
                <c:pt idx="14">
                  <c:v>26369.106262043773</c:v>
                </c:pt>
                <c:pt idx="15">
                  <c:v>27190.444394804956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44-4A54-8D7D-3023023C3631}"/>
            </c:ext>
          </c:extLst>
        </c:ser>
        <c:ser>
          <c:idx val="2"/>
          <c:order val="2"/>
          <c:tx>
            <c:strRef>
              <c:f>各パラメータごとの形状!$T$12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各パラメータごとの形状!$Q$13:$Q$28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xVal>
          <c:yVal>
            <c:numRef>
              <c:f>各パラメータごとの形状!$T$13:$T$28</c:f>
              <c:numCache>
                <c:formatCode>General</c:formatCode>
                <c:ptCount val="16"/>
                <c:pt idx="0">
                  <c:v>0.46027449629794148</c:v>
                </c:pt>
                <c:pt idx="1">
                  <c:v>109.33224302265171</c:v>
                </c:pt>
                <c:pt idx="2">
                  <c:v>1487.1010983076594</c:v>
                </c:pt>
                <c:pt idx="3">
                  <c:v>4072.0744335267918</c:v>
                </c:pt>
                <c:pt idx="4">
                  <c:v>6538.7984990389159</c:v>
                </c:pt>
                <c:pt idx="5">
                  <c:v>8771.4269100582351</c:v>
                </c:pt>
                <c:pt idx="6">
                  <c:v>10791.592736709074</c:v>
                </c:pt>
                <c:pt idx="7">
                  <c:v>12619.514367300668</c:v>
                </c:pt>
                <c:pt idx="8">
                  <c:v>14273.486255897245</c:v>
                </c:pt>
                <c:pt idx="9">
                  <c:v>15770.061909079031</c:v>
                </c:pt>
                <c:pt idx="10">
                  <c:v>17124.219558999517</c:v>
                </c:pt>
                <c:pt idx="11">
                  <c:v>18349.512070567216</c:v>
                </c:pt>
                <c:pt idx="12">
                  <c:v>19458.202583072925</c:v>
                </c:pt>
                <c:pt idx="13">
                  <c:v>20461.387243809557</c:v>
                </c:pt>
                <c:pt idx="14">
                  <c:v>21369.106262043773</c:v>
                </c:pt>
                <c:pt idx="15">
                  <c:v>22190.444394804956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44-4A54-8D7D-3023023C3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22896"/>
        <c:axId val="2040816656"/>
      </c:scatterChart>
      <c:valAx>
        <c:axId val="20408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16656"/>
        <c:crosses val="autoZero"/>
        <c:crossBetween val="midCat"/>
      </c:valAx>
      <c:valAx>
        <c:axId val="204081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各パラメータごとの形状!$H$12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各パラメータごとの形状!$G$13:$G$28</c:f>
              <c:numCache>
                <c:formatCode>General</c:formatCode>
                <c:ptCount val="1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</c:numCache>
            </c:numRef>
          </c:xVal>
          <c:yVal>
            <c:numRef>
              <c:f>各パラメータごとの形状!$H$13:$H$28</c:f>
              <c:numCache>
                <c:formatCode>General</c:formatCode>
                <c:ptCount val="16"/>
                <c:pt idx="0">
                  <c:v>5693.5966190913314</c:v>
                </c:pt>
                <c:pt idx="1">
                  <c:v>5793.0745647232725</c:v>
                </c:pt>
                <c:pt idx="2">
                  <c:v>6134.8199677815101</c:v>
                </c:pt>
                <c:pt idx="3">
                  <c:v>6632.8037845021099</c:v>
                </c:pt>
                <c:pt idx="4">
                  <c:v>7213.11405096819</c:v>
                </c:pt>
                <c:pt idx="5">
                  <c:v>7838.7035003355304</c:v>
                </c:pt>
                <c:pt idx="6">
                  <c:v>8490.518609232</c:v>
                </c:pt>
                <c:pt idx="7">
                  <c:v>9157.9402439277073</c:v>
                </c:pt>
                <c:pt idx="8">
                  <c:v>9834.5677266081002</c:v>
                </c:pt>
                <c:pt idx="9">
                  <c:v>10516.266707003593</c:v>
                </c:pt>
                <c:pt idx="10">
                  <c:v>11200.200553700644</c:v>
                </c:pt>
                <c:pt idx="11">
                  <c:v>11884.317668730753</c:v>
                </c:pt>
                <c:pt idx="12">
                  <c:v>12567.064462713528</c:v>
                </c:pt>
                <c:pt idx="13">
                  <c:v>13247.216781902715</c:v>
                </c:pt>
                <c:pt idx="14">
                  <c:v>13923.776777837627</c:v>
                </c:pt>
                <c:pt idx="15">
                  <c:v>14595.907571640382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29-48A1-BA42-F5249053F5F1}"/>
            </c:ext>
          </c:extLst>
        </c:ser>
        <c:ser>
          <c:idx val="1"/>
          <c:order val="1"/>
          <c:tx>
            <c:strRef>
              <c:f>各パラメータごとの形状!$I$12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各パラメータごとの形状!$G$13:$G$28</c:f>
              <c:numCache>
                <c:formatCode>General</c:formatCode>
                <c:ptCount val="1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</c:numCache>
            </c:numRef>
          </c:xVal>
          <c:yVal>
            <c:numRef>
              <c:f>各パラメータごとの形状!$I$13:$I$28</c:f>
              <c:numCache>
                <c:formatCode>General</c:formatCode>
                <c:ptCount val="16"/>
                <c:pt idx="0">
                  <c:v>1092.2420112201835</c:v>
                </c:pt>
                <c:pt idx="1">
                  <c:v>1755.9432121918435</c:v>
                </c:pt>
                <c:pt idx="2">
                  <c:v>2436.644575593953</c:v>
                </c:pt>
                <c:pt idx="3">
                  <c:v>3120.6130475003883</c:v>
                </c:pt>
                <c:pt idx="4">
                  <c:v>3804.6954716951586</c:v>
                </c:pt>
                <c:pt idx="5">
                  <c:v>4487.5534874419973</c:v>
                </c:pt>
                <c:pt idx="6">
                  <c:v>5168.3742737991197</c:v>
                </c:pt>
                <c:pt idx="7">
                  <c:v>5846.5460198763831</c:v>
                </c:pt>
                <c:pt idx="8">
                  <c:v>6521.5498190363342</c:v>
                </c:pt>
                <c:pt idx="9">
                  <c:v>7192.9167679250859</c:v>
                </c:pt>
                <c:pt idx="10">
                  <c:v>7860.2088231782509</c:v>
                </c:pt>
                <c:pt idx="11">
                  <c:v>8523.0095595174225</c:v>
                </c:pt>
                <c:pt idx="12">
                  <c:v>9180.9194890478648</c:v>
                </c:pt>
                <c:pt idx="13">
                  <c:v>9833.5536492138763</c:v>
                </c:pt>
                <c:pt idx="14">
                  <c:v>10480.540387682124</c:v>
                </c:pt>
                <c:pt idx="15">
                  <c:v>11121.520807131519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29-48A1-BA42-F5249053F5F1}"/>
            </c:ext>
          </c:extLst>
        </c:ser>
        <c:ser>
          <c:idx val="2"/>
          <c:order val="2"/>
          <c:tx>
            <c:strRef>
              <c:f>各パラメータごとの形状!$J$12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各パラメータごとの形状!$G$13:$G$28</c:f>
              <c:numCache>
                <c:formatCode>General</c:formatCode>
                <c:ptCount val="1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</c:numCache>
            </c:numRef>
          </c:xVal>
          <c:yVal>
            <c:numRef>
              <c:f>各パラメータごとの形状!$J$13:$J$28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133.51818454345675</c:v>
                </c:pt>
                <c:pt idx="2">
                  <c:v>487.49009525564634</c:v>
                </c:pt>
                <c:pt idx="3">
                  <c:v>960.33858534784849</c:v>
                </c:pt>
                <c:pt idx="4">
                  <c:v>1491.6190077335978</c:v>
                </c:pt>
                <c:pt idx="5">
                  <c:v>2053.8821140178698</c:v>
                </c:pt>
                <c:pt idx="6">
                  <c:v>2633.5479287122998</c:v>
                </c:pt>
                <c:pt idx="7">
                  <c:v>3223.1728842611301</c:v>
                </c:pt>
                <c:pt idx="8">
                  <c:v>3818.293896567895</c:v>
                </c:pt>
                <c:pt idx="9">
                  <c:v>4416.0221836993769</c:v>
                </c:pt>
                <c:pt idx="10">
                  <c:v>5014.361073891554</c:v>
                </c:pt>
                <c:pt idx="11">
                  <c:v>5611.8501483259097</c:v>
                </c:pt>
                <c:pt idx="12">
                  <c:v>6207.3680333035973</c:v>
                </c:pt>
                <c:pt idx="13">
                  <c:v>6800.0174508101136</c:v>
                </c:pt>
                <c:pt idx="14">
                  <c:v>7389.0553131054385</c:v>
                </c:pt>
                <c:pt idx="15">
                  <c:v>7973.8486576049945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29-48A1-BA42-F5249053F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66399"/>
        <c:axId val="81484639"/>
      </c:scatterChart>
      <c:valAx>
        <c:axId val="81466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84639"/>
        <c:crosses val="autoZero"/>
        <c:crossBetween val="midCat"/>
      </c:valAx>
      <c:valAx>
        <c:axId val="8148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663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TimeOfExpiration ( T=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各パラメータごとの形状!$E$30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各パラメータごとの形状!$D$31:$D$42</c:f>
              <c:numCache>
                <c:formatCode>General</c:formatCode>
                <c:ptCount val="12"/>
                <c:pt idx="0">
                  <c:v>0</c:v>
                </c:pt>
                <c:pt idx="1">
                  <c:v>8.333333333333337E-2</c:v>
                </c:pt>
                <c:pt idx="2">
                  <c:v>0.16666666666666674</c:v>
                </c:pt>
                <c:pt idx="3">
                  <c:v>0.25000000000000011</c:v>
                </c:pt>
                <c:pt idx="4">
                  <c:v>0.33333333333333348</c:v>
                </c:pt>
                <c:pt idx="5">
                  <c:v>0.41666666666666685</c:v>
                </c:pt>
                <c:pt idx="6">
                  <c:v>0.50000000000000022</c:v>
                </c:pt>
                <c:pt idx="7">
                  <c:v>0.58333333333333348</c:v>
                </c:pt>
                <c:pt idx="8">
                  <c:v>0.66666666666666674</c:v>
                </c:pt>
                <c:pt idx="9">
                  <c:v>0.75000000000000011</c:v>
                </c:pt>
                <c:pt idx="10">
                  <c:v>0.83333333333333348</c:v>
                </c:pt>
                <c:pt idx="11">
                  <c:v>0.91666666666666674</c:v>
                </c:pt>
              </c:numCache>
            </c:numRef>
          </c:xVal>
          <c:yVal>
            <c:numRef>
              <c:f>各パラメータごとの形状!$E$31:$E$42</c:f>
              <c:numCache>
                <c:formatCode>General</c:formatCode>
                <c:ptCount val="12"/>
                <c:pt idx="0">
                  <c:v>5693.5966190913314</c:v>
                </c:pt>
                <c:pt idx="1">
                  <c:v>5636.1845811236271</c:v>
                </c:pt>
                <c:pt idx="2">
                  <c:v>5578.7223782609726</c:v>
                </c:pt>
                <c:pt idx="3">
                  <c:v>5521.2059614851387</c:v>
                </c:pt>
                <c:pt idx="4">
                  <c:v>5463.6292936378013</c:v>
                </c:pt>
                <c:pt idx="5">
                  <c:v>5405.9845823689466</c:v>
                </c:pt>
                <c:pt idx="6">
                  <c:v>5348.2630250094153</c:v>
                </c:pt>
                <c:pt idx="7">
                  <c:v>5290.4561426088912</c:v>
                </c:pt>
                <c:pt idx="8">
                  <c:v>5232.557404029154</c:v>
                </c:pt>
                <c:pt idx="9">
                  <c:v>5174.5632306415137</c:v>
                </c:pt>
                <c:pt idx="10">
                  <c:v>5116.4724380927873</c:v>
                </c:pt>
                <c:pt idx="11">
                  <c:v>5058.2847492171422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20-49B6-B019-FAEE2E62066A}"/>
            </c:ext>
          </c:extLst>
        </c:ser>
        <c:ser>
          <c:idx val="1"/>
          <c:order val="1"/>
          <c:tx>
            <c:strRef>
              <c:f>各パラメータごとの形状!$F$30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各パラメータごとの形状!$D$31:$D$42</c:f>
              <c:numCache>
                <c:formatCode>General</c:formatCode>
                <c:ptCount val="12"/>
                <c:pt idx="0">
                  <c:v>0</c:v>
                </c:pt>
                <c:pt idx="1">
                  <c:v>8.333333333333337E-2</c:v>
                </c:pt>
                <c:pt idx="2">
                  <c:v>0.16666666666666674</c:v>
                </c:pt>
                <c:pt idx="3">
                  <c:v>0.25000000000000011</c:v>
                </c:pt>
                <c:pt idx="4">
                  <c:v>0.33333333333333348</c:v>
                </c:pt>
                <c:pt idx="5">
                  <c:v>0.41666666666666685</c:v>
                </c:pt>
                <c:pt idx="6">
                  <c:v>0.50000000000000022</c:v>
                </c:pt>
                <c:pt idx="7">
                  <c:v>0.58333333333333348</c:v>
                </c:pt>
                <c:pt idx="8">
                  <c:v>0.66666666666666674</c:v>
                </c:pt>
                <c:pt idx="9">
                  <c:v>0.75000000000000011</c:v>
                </c:pt>
                <c:pt idx="10">
                  <c:v>0.83333333333333348</c:v>
                </c:pt>
                <c:pt idx="11">
                  <c:v>0.91666666666666674</c:v>
                </c:pt>
              </c:numCache>
            </c:numRef>
          </c:xVal>
          <c:yVal>
            <c:numRef>
              <c:f>各パラメータごとの形状!$F$31:$F$42</c:f>
              <c:numCache>
                <c:formatCode>General</c:formatCode>
                <c:ptCount val="12"/>
                <c:pt idx="0">
                  <c:v>1092.2420112201835</c:v>
                </c:pt>
                <c:pt idx="1">
                  <c:v>1028.1745912991501</c:v>
                </c:pt>
                <c:pt idx="2">
                  <c:v>962.9104170886385</c:v>
                </c:pt>
                <c:pt idx="3">
                  <c:v>896.25002429591405</c:v>
                </c:pt>
                <c:pt idx="4">
                  <c:v>827.93478890506231</c:v>
                </c:pt>
                <c:pt idx="5">
                  <c:v>757.61966015728467</c:v>
                </c:pt>
                <c:pt idx="6">
                  <c:v>684.82737634104706</c:v>
                </c:pt>
                <c:pt idx="7">
                  <c:v>608.86605928972131</c:v>
                </c:pt>
                <c:pt idx="8">
                  <c:v>528.6665559431749</c:v>
                </c:pt>
                <c:pt idx="9">
                  <c:v>442.41693208587458</c:v>
                </c:pt>
                <c:pt idx="10">
                  <c:v>346.56048021601237</c:v>
                </c:pt>
                <c:pt idx="11">
                  <c:v>231.8520164870024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20-49B6-B019-FAEE2E62066A}"/>
            </c:ext>
          </c:extLst>
        </c:ser>
        <c:ser>
          <c:idx val="2"/>
          <c:order val="2"/>
          <c:tx>
            <c:strRef>
              <c:f>各パラメータごとの形状!$G$30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各パラメータごとの形状!$D$31:$D$42</c:f>
              <c:numCache>
                <c:formatCode>General</c:formatCode>
                <c:ptCount val="12"/>
                <c:pt idx="0">
                  <c:v>0</c:v>
                </c:pt>
                <c:pt idx="1">
                  <c:v>8.333333333333337E-2</c:v>
                </c:pt>
                <c:pt idx="2">
                  <c:v>0.16666666666666674</c:v>
                </c:pt>
                <c:pt idx="3">
                  <c:v>0.25000000000000011</c:v>
                </c:pt>
                <c:pt idx="4">
                  <c:v>0.33333333333333348</c:v>
                </c:pt>
                <c:pt idx="5">
                  <c:v>0.41666666666666685</c:v>
                </c:pt>
                <c:pt idx="6">
                  <c:v>0.50000000000000022</c:v>
                </c:pt>
                <c:pt idx="7">
                  <c:v>0.58333333333333348</c:v>
                </c:pt>
                <c:pt idx="8">
                  <c:v>0.66666666666666674</c:v>
                </c:pt>
                <c:pt idx="9">
                  <c:v>0.75000000000000011</c:v>
                </c:pt>
                <c:pt idx="10">
                  <c:v>0.83333333333333348</c:v>
                </c:pt>
                <c:pt idx="11">
                  <c:v>0.91666666666666674</c:v>
                </c:pt>
              </c:numCache>
            </c:numRef>
          </c:xVal>
          <c:yVal>
            <c:numRef>
              <c:f>各パラメータごとの形状!$G$31:$G$42</c:f>
              <c:numCache>
                <c:formatCode>General</c:formatCode>
                <c:ptCount val="12"/>
                <c:pt idx="0">
                  <c:v>1.7969167745359584</c:v>
                </c:pt>
                <c:pt idx="1">
                  <c:v>1.0318514535373424</c:v>
                </c:pt>
                <c:pt idx="2">
                  <c:v>0.53686953014304351</c:v>
                </c:pt>
                <c:pt idx="3">
                  <c:v>0.24526764308682303</c:v>
                </c:pt>
                <c:pt idx="4">
                  <c:v>9.3892623568549993E-2</c:v>
                </c:pt>
                <c:pt idx="5">
                  <c:v>2.8002719617877148E-2</c:v>
                </c:pt>
                <c:pt idx="6">
                  <c:v>5.7682264197584932E-3</c:v>
                </c:pt>
                <c:pt idx="7">
                  <c:v>6.6190436855935453E-4</c:v>
                </c:pt>
                <c:pt idx="8">
                  <c:v>2.7626166313281068E-5</c:v>
                </c:pt>
                <c:pt idx="9">
                  <c:v>1.5645564031990415E-7</c:v>
                </c:pt>
                <c:pt idx="10">
                  <c:v>6.411454080854843E-12</c:v>
                </c:pt>
                <c:pt idx="11">
                  <c:v>9.471722261423816E-25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320-49B6-B019-FAEE2E620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74079"/>
        <c:axId val="81478399"/>
      </c:scatterChart>
      <c:valAx>
        <c:axId val="81474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78399"/>
        <c:crosses val="autoZero"/>
        <c:crossBetween val="midCat"/>
      </c:valAx>
      <c:valAx>
        <c:axId val="8147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74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TimeOfExpiration ( T=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各パラメータごとの形状!$M$30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各パラメータごとの形状!$L$31:$L$40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各パラメータごとの形状!$M$31:$M$40</c:f>
              <c:numCache>
                <c:formatCode>General</c:formatCode>
                <c:ptCount val="10"/>
                <c:pt idx="0">
                  <c:v>11378.073023991787</c:v>
                </c:pt>
                <c:pt idx="1">
                  <c:v>10799.553196709076</c:v>
                </c:pt>
                <c:pt idx="2">
                  <c:v>10208.692020670176</c:v>
                </c:pt>
                <c:pt idx="3">
                  <c:v>9605.0282621253937</c:v>
                </c:pt>
                <c:pt idx="4">
                  <c:v>8988.0489223988079</c:v>
                </c:pt>
                <c:pt idx="5">
                  <c:v>8357.2061692003517</c:v>
                </c:pt>
                <c:pt idx="6">
                  <c:v>7711.9883041287867</c:v>
                </c:pt>
                <c:pt idx="7">
                  <c:v>7052.1465111699072</c:v>
                </c:pt>
                <c:pt idx="8">
                  <c:v>6378.3528326352243</c:v>
                </c:pt>
                <c:pt idx="9">
                  <c:v>5693.5966190913314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E-4078-8303-94DA19A97B3B}"/>
            </c:ext>
          </c:extLst>
        </c:ser>
        <c:ser>
          <c:idx val="1"/>
          <c:order val="1"/>
          <c:tx>
            <c:strRef>
              <c:f>各パラメータごとの形状!$N$30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各パラメータごとの形状!$L$31:$L$40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各パラメータごとの形状!$N$31:$N$40</c:f>
              <c:numCache>
                <c:formatCode>General</c:formatCode>
                <c:ptCount val="10"/>
                <c:pt idx="0">
                  <c:v>6589.4176897578145</c:v>
                </c:pt>
                <c:pt idx="1">
                  <c:v>6034.2203763706893</c:v>
                </c:pt>
                <c:pt idx="2">
                  <c:v>5469.0547176294349</c:v>
                </c:pt>
                <c:pt idx="3">
                  <c:v>4893.493361683737</c:v>
                </c:pt>
                <c:pt idx="4">
                  <c:v>4306.8554443619578</c:v>
                </c:pt>
                <c:pt idx="5">
                  <c:v>3707.99514676943</c:v>
                </c:pt>
                <c:pt idx="6">
                  <c:v>3094.8583402829099</c:v>
                </c:pt>
                <c:pt idx="7">
                  <c:v>2463.4311421330349</c:v>
                </c:pt>
                <c:pt idx="8">
                  <c:v>1804.7131598864435</c:v>
                </c:pt>
                <c:pt idx="9">
                  <c:v>1092.2420112201835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7E-4078-8303-94DA19A97B3B}"/>
            </c:ext>
          </c:extLst>
        </c:ser>
        <c:ser>
          <c:idx val="2"/>
          <c:order val="2"/>
          <c:tx>
            <c:strRef>
              <c:f>各パラメータごとの形状!$O$30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各パラメータごとの形状!$L$31:$L$40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各パラメータごとの形状!$O$31:$O$40</c:f>
              <c:numCache>
                <c:formatCode>General</c:formatCode>
                <c:ptCount val="10"/>
                <c:pt idx="0">
                  <c:v>2597.2134285659195</c:v>
                </c:pt>
                <c:pt idx="1">
                  <c:v>2179.6220685499775</c:v>
                </c:pt>
                <c:pt idx="2">
                  <c:v>1775.1511234338031</c:v>
                </c:pt>
                <c:pt idx="3">
                  <c:v>1388.6975880403588</c:v>
                </c:pt>
                <c:pt idx="4">
                  <c:v>1026.7162386467699</c:v>
                </c:pt>
                <c:pt idx="5">
                  <c:v>697.88826796136709</c:v>
                </c:pt>
                <c:pt idx="6">
                  <c:v>414.09205778675914</c:v>
                </c:pt>
                <c:pt idx="7">
                  <c:v>191.54834045942425</c:v>
                </c:pt>
                <c:pt idx="8">
                  <c:v>50.437420536761692</c:v>
                </c:pt>
                <c:pt idx="9">
                  <c:v>1.7969167745359584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7E-4078-8303-94DA19A9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2799"/>
        <c:axId val="81493279"/>
      </c:scatterChart>
      <c:valAx>
        <c:axId val="81492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3279"/>
        <c:crosses val="autoZero"/>
        <c:crossBetween val="midCat"/>
      </c:valAx>
      <c:valAx>
        <c:axId val="8149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2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Strike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各パラメータごとの形状!$D$45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各パラメータごとの形状!$C$46:$C$61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各パラメータごとの形状!$D$46:$D$61</c:f>
              <c:numCache>
                <c:formatCode>General</c:formatCode>
                <c:ptCount val="16"/>
                <c:pt idx="0">
                  <c:v>10594.03980089787</c:v>
                </c:pt>
                <c:pt idx="1">
                  <c:v>9613.8411332346695</c:v>
                </c:pt>
                <c:pt idx="2">
                  <c:v>8633.6426499025984</c:v>
                </c:pt>
                <c:pt idx="3">
                  <c:v>7653.4479521356843</c:v>
                </c:pt>
                <c:pt idx="4">
                  <c:v>6673.3031930821089</c:v>
                </c:pt>
                <c:pt idx="5">
                  <c:v>5693.5966190913314</c:v>
                </c:pt>
                <c:pt idx="6">
                  <c:v>4716.5282939113313</c:v>
                </c:pt>
                <c:pt idx="7">
                  <c:v>3750.668514853598</c:v>
                </c:pt>
                <c:pt idx="8">
                  <c:v>2819.2678036336583</c:v>
                </c:pt>
                <c:pt idx="9">
                  <c:v>1966.2996827269017</c:v>
                </c:pt>
                <c:pt idx="10">
                  <c:v>1248.2765842516346</c:v>
                </c:pt>
                <c:pt idx="11">
                  <c:v>709.12349305404132</c:v>
                </c:pt>
                <c:pt idx="12">
                  <c:v>355.84092170134863</c:v>
                </c:pt>
                <c:pt idx="13">
                  <c:v>156.42510916581341</c:v>
                </c:pt>
                <c:pt idx="14">
                  <c:v>59.993655310500344</c:v>
                </c:pt>
                <c:pt idx="15">
                  <c:v>20.060732755087884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24-4045-ACD9-F307F3C4DEB4}"/>
            </c:ext>
          </c:extLst>
        </c:ser>
        <c:ser>
          <c:idx val="1"/>
          <c:order val="1"/>
          <c:tx>
            <c:strRef>
              <c:f>各パラメータごとの形状!$E$45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各パラメータごとの形状!$C$46:$C$61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各パラメータごとの形状!$E$46:$E$61</c:f>
              <c:numCache>
                <c:formatCode>General</c:formatCode>
                <c:ptCount val="16"/>
                <c:pt idx="0">
                  <c:v>5594.1401245477282</c:v>
                </c:pt>
                <c:pt idx="1">
                  <c:v>4614.9731022271662</c:v>
                </c:pt>
                <c:pt idx="2">
                  <c:v>3641.9169765152292</c:v>
                </c:pt>
                <c:pt idx="3">
                  <c:v>2694.7243179890902</c:v>
                </c:pt>
                <c:pt idx="4">
                  <c:v>1821.0615848704147</c:v>
                </c:pt>
                <c:pt idx="5">
                  <c:v>1092.2420112201835</c:v>
                </c:pt>
                <c:pt idx="6">
                  <c:v>566.70040393741328</c:v>
                </c:pt>
                <c:pt idx="7">
                  <c:v>249.60481870270451</c:v>
                </c:pt>
                <c:pt idx="8">
                  <c:v>92.309129487759947</c:v>
                </c:pt>
                <c:pt idx="9">
                  <c:v>28.544038254534598</c:v>
                </c:pt>
                <c:pt idx="10">
                  <c:v>7.3867388905895268</c:v>
                </c:pt>
                <c:pt idx="11">
                  <c:v>1.6066524282412757</c:v>
                </c:pt>
                <c:pt idx="12">
                  <c:v>0.29559911544217954</c:v>
                </c:pt>
                <c:pt idx="13">
                  <c:v>4.6354702251940161E-2</c:v>
                </c:pt>
                <c:pt idx="14">
                  <c:v>6.2465820514137071E-3</c:v>
                </c:pt>
                <c:pt idx="15">
                  <c:v>7.2941743350588006E-4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24-4045-ACD9-F307F3C4DEB4}"/>
            </c:ext>
          </c:extLst>
        </c:ser>
        <c:ser>
          <c:idx val="2"/>
          <c:order val="2"/>
          <c:tx>
            <c:strRef>
              <c:f>各パラメータごとの形状!$F$45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各パラメータごとの形状!$C$46:$C$61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各パラメータごとの形状!$F$46:$F$61</c:f>
              <c:numCache>
                <c:formatCode>General</c:formatCode>
                <c:ptCount val="16"/>
                <c:pt idx="0">
                  <c:v>936.2074381887287</c:v>
                </c:pt>
                <c:pt idx="1">
                  <c:v>428.71308003307968</c:v>
                </c:pt>
                <c:pt idx="2">
                  <c:v>156.63222615981977</c:v>
                </c:pt>
                <c:pt idx="3">
                  <c:v>44.995241482875599</c:v>
                </c:pt>
                <c:pt idx="4">
                  <c:v>10.131982927300101</c:v>
                </c:pt>
                <c:pt idx="5">
                  <c:v>1.7969167745359584</c:v>
                </c:pt>
                <c:pt idx="6">
                  <c:v>0.25337067037901306</c:v>
                </c:pt>
                <c:pt idx="7">
                  <c:v>2.8743949873125896E-2</c:v>
                </c:pt>
                <c:pt idx="8">
                  <c:v>2.6579122484769457E-3</c:v>
                </c:pt>
                <c:pt idx="9">
                  <c:v>2.0299847416179601E-4</c:v>
                </c:pt>
                <c:pt idx="10">
                  <c:v>1.2973469300254798E-5</c:v>
                </c:pt>
                <c:pt idx="11">
                  <c:v>7.0253029414298301E-7</c:v>
                </c:pt>
                <c:pt idx="12">
                  <c:v>3.2619224619286726E-8</c:v>
                </c:pt>
                <c:pt idx="13">
                  <c:v>1.3131932594963439E-9</c:v>
                </c:pt>
                <c:pt idx="14">
                  <c:v>4.6319414080662245E-11</c:v>
                </c:pt>
                <c:pt idx="15">
                  <c:v>1.4454447383671727E-12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24-4045-ACD9-F307F3C4D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26256"/>
        <c:axId val="2040815696"/>
      </c:scatterChart>
      <c:valAx>
        <c:axId val="2040826256"/>
        <c:scaling>
          <c:orientation val="minMax"/>
          <c:min val="3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15696"/>
        <c:crosses val="autoZero"/>
        <c:crossBetween val="midCat"/>
      </c:valAx>
      <c:valAx>
        <c:axId val="204081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2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Stock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883652028928003"/>
          <c:y val="0.14537915496435297"/>
          <c:w val="0.8243922985853519"/>
          <c:h val="0.7640057405635628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各パラメータごとの形状!$K$45</c:f>
              <c:strCache>
                <c:ptCount val="1"/>
                <c:pt idx="0">
                  <c:v>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各パラメータごとの形状!$J$46:$J$61</c:f>
              <c:numCache>
                <c:formatCode>General</c:formatCode>
                <c:ptCount val="16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</c:numCache>
            </c:numRef>
          </c:xVal>
          <c:yVal>
            <c:numRef>
              <c:f>各パラメータごとの形状!$K$46:$K$61</c:f>
              <c:numCache>
                <c:formatCode>General</c:formatCode>
                <c:ptCount val="16"/>
                <c:pt idx="0">
                  <c:v>1.7969167745359584</c:v>
                </c:pt>
                <c:pt idx="1">
                  <c:v>12.863969008238428</c:v>
                </c:pt>
                <c:pt idx="2">
                  <c:v>61.778632250228839</c:v>
                </c:pt>
                <c:pt idx="3">
                  <c:v>210.59012015102508</c:v>
                </c:pt>
                <c:pt idx="4">
                  <c:v>538.68841441545555</c:v>
                </c:pt>
                <c:pt idx="5">
                  <c:v>1092.2420112201835</c:v>
                </c:pt>
                <c:pt idx="6">
                  <c:v>1849.9012086552211</c:v>
                </c:pt>
                <c:pt idx="7">
                  <c:v>2743.9006305571565</c:v>
                </c:pt>
                <c:pt idx="8">
                  <c:v>3706.6278229875243</c:v>
                </c:pt>
                <c:pt idx="9">
                  <c:v>4696.0438992838535</c:v>
                </c:pt>
                <c:pt idx="10">
                  <c:v>5693.5966190913314</c:v>
                </c:pt>
                <c:pt idx="11">
                  <c:v>6693.131105983739</c:v>
                </c:pt>
                <c:pt idx="12">
                  <c:v>7693.0574590553733</c:v>
                </c:pt>
                <c:pt idx="13">
                  <c:v>8693.047660237884</c:v>
                </c:pt>
                <c:pt idx="14">
                  <c:v>9693.0465517922057</c:v>
                </c:pt>
                <c:pt idx="15">
                  <c:v>10693.046444065956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BF-4B21-977C-DD16065B1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03071"/>
        <c:axId val="95427551"/>
      </c:scatterChart>
      <c:valAx>
        <c:axId val="95403071"/>
        <c:scaling>
          <c:orientation val="minMax"/>
          <c:min val="3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27551"/>
        <c:crosses val="autoZero"/>
        <c:crossBetween val="midCat"/>
      </c:valAx>
      <c:valAx>
        <c:axId val="9542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3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DeltaCall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Greeks_B76!$N$12:$N$112</c:f>
              <c:numCache>
                <c:formatCode>General</c:formatCode>
                <c:ptCount val="101"/>
                <c:pt idx="0">
                  <c:v>0.97981429938561526</c:v>
                </c:pt>
                <c:pt idx="1">
                  <c:v>0.97970232077015407</c:v>
                </c:pt>
                <c:pt idx="2">
                  <c:v>0.9795612211283341</c:v>
                </c:pt>
                <c:pt idx="3">
                  <c:v>0.97938443868003355</c:v>
                </c:pt>
                <c:pt idx="4">
                  <c:v>0.97916419928166221</c:v>
                </c:pt>
                <c:pt idx="5">
                  <c:v>0.9788913558341622</c:v>
                </c:pt>
                <c:pt idx="6">
                  <c:v>0.97855522023965869</c:v>
                </c:pt>
                <c:pt idx="7">
                  <c:v>0.9781433906494359</c:v>
                </c:pt>
                <c:pt idx="8">
                  <c:v>0.97764157746035696</c:v>
                </c:pt>
                <c:pt idx="9">
                  <c:v>0.97703343224958983</c:v>
                </c:pt>
                <c:pt idx="10">
                  <c:v>0.9763003845622259</c:v>
                </c:pt>
                <c:pt idx="11">
                  <c:v>0.97542149215229312</c:v>
                </c:pt>
                <c:pt idx="12">
                  <c:v>0.97437331089031909</c:v>
                </c:pt>
                <c:pt idx="13">
                  <c:v>0.97312979105298514</c:v>
                </c:pt>
                <c:pt idx="14">
                  <c:v>0.97166220706437167</c:v>
                </c:pt>
                <c:pt idx="15">
                  <c:v>0.96993912792623849</c:v>
                </c:pt>
                <c:pt idx="16">
                  <c:v>0.96792643552161028</c:v>
                </c:pt>
                <c:pt idx="17">
                  <c:v>0.96558739767108026</c:v>
                </c:pt>
                <c:pt idx="18">
                  <c:v>0.962882802240831</c:v>
                </c:pt>
                <c:pt idx="19">
                  <c:v>0.9597711577301562</c:v>
                </c:pt>
                <c:pt idx="20">
                  <c:v>0.95620896459956461</c:v>
                </c:pt>
                <c:pt idx="21">
                  <c:v>0.9521510601456511</c:v>
                </c:pt>
                <c:pt idx="22">
                  <c:v>0.94755103800614959</c:v>
                </c:pt>
                <c:pt idx="23">
                  <c:v>0.94236174142182327</c:v>
                </c:pt>
                <c:pt idx="24">
                  <c:v>0.9365358272383264</c:v>
                </c:pt>
                <c:pt idx="25">
                  <c:v>0.93002639536062948</c:v>
                </c:pt>
                <c:pt idx="26">
                  <c:v>0.9227876760457504</c:v>
                </c:pt>
                <c:pt idx="27">
                  <c:v>0.91477576511576586</c:v>
                </c:pt>
                <c:pt idx="28">
                  <c:v>0.90594939497765292</c:v>
                </c:pt>
                <c:pt idx="29">
                  <c:v>0.89627072733711421</c:v>
                </c:pt>
                <c:pt idx="30">
                  <c:v>0.88570615177658285</c:v>
                </c:pt>
                <c:pt idx="31">
                  <c:v>0.87422707301438485</c:v>
                </c:pt>
                <c:pt idx="32">
                  <c:v>0.86181066874453183</c:v>
                </c:pt>
                <c:pt idx="33">
                  <c:v>0.84844059953426432</c:v>
                </c:pt>
                <c:pt idx="34">
                  <c:v>0.83410765237233597</c:v>
                </c:pt>
                <c:pt idx="35">
                  <c:v>0.81881030013966249</c:v>
                </c:pt>
                <c:pt idx="36">
                  <c:v>0.80255516051906595</c:v>
                </c:pt>
                <c:pt idx="37">
                  <c:v>0.78535733965464749</c:v>
                </c:pt>
                <c:pt idx="38">
                  <c:v>0.76724064817432192</c:v>
                </c:pt>
                <c:pt idx="39">
                  <c:v>0.74823767994105517</c:v>
                </c:pt>
                <c:pt idx="40">
                  <c:v>0.72838974702064596</c:v>
                </c:pt>
                <c:pt idx="41">
                  <c:v>0.70774666775183992</c:v>
                </c:pt>
                <c:pt idx="42">
                  <c:v>0.6863664083713884</c:v>
                </c:pt>
                <c:pt idx="43">
                  <c:v>0.66431458226784812</c:v>
                </c:pt>
                <c:pt idx="44">
                  <c:v>0.6416638144953235</c:v>
                </c:pt>
                <c:pt idx="45">
                  <c:v>0.61849298255584739</c:v>
                </c:pt>
                <c:pt idx="46">
                  <c:v>0.59488634754625358</c:v>
                </c:pt>
                <c:pt idx="47">
                  <c:v>0.57093259246294303</c:v>
                </c:pt>
                <c:pt idx="48">
                  <c:v>0.54672378668074229</c:v>
                </c:pt>
                <c:pt idx="49">
                  <c:v>0.52235429730318816</c:v>
                </c:pt>
                <c:pt idx="50">
                  <c:v>0.49791966917391012</c:v>
                </c:pt>
                <c:pt idx="51">
                  <c:v>0.47351549581719293</c:v>
                </c:pt>
                <c:pt idx="52">
                  <c:v>0.4492363034370464</c:v>
                </c:pt>
                <c:pt idx="53">
                  <c:v>0.42517446936682474</c:v>
                </c:pt>
                <c:pt idx="54">
                  <c:v>0.40141919506445717</c:v>
                </c:pt>
                <c:pt idx="55">
                  <c:v>0.37805555194869744</c:v>
                </c:pt>
                <c:pt idx="56">
                  <c:v>0.35516361614166803</c:v>
                </c:pt>
                <c:pt idx="57">
                  <c:v>0.3328177056065702</c:v>
                </c:pt>
                <c:pt idx="58">
                  <c:v>0.3110857303389693</c:v>
                </c:pt>
                <c:pt idx="59">
                  <c:v>0.29002866328210636</c:v>
                </c:pt>
                <c:pt idx="60">
                  <c:v>0.26970013658828113</c:v>
                </c:pt>
                <c:pt idx="61">
                  <c:v>0.25014616483327673</c:v>
                </c:pt>
                <c:pt idx="62">
                  <c:v>0.23140499389635727</c:v>
                </c:pt>
                <c:pt idx="63">
                  <c:v>0.21350707152265966</c:v>
                </c:pt>
                <c:pt idx="64">
                  <c:v>0.1964751331542447</c:v>
                </c:pt>
                <c:pt idx="65">
                  <c:v>0.18032439450406124</c:v>
                </c:pt>
                <c:pt idx="66">
                  <c:v>0.16506284059270696</c:v>
                </c:pt>
                <c:pt idx="67">
                  <c:v>0.15069159959590631</c:v>
                </c:pt>
                <c:pt idx="68">
                  <c:v>0.13720538887143954</c:v>
                </c:pt>
                <c:pt idx="69">
                  <c:v>0.12459301994491784</c:v>
                </c:pt>
                <c:pt idx="70">
                  <c:v>0.11283794901909433</c:v>
                </c:pt>
                <c:pt idx="71">
                  <c:v>0.10191885970558735</c:v>
                </c:pt>
                <c:pt idx="72">
                  <c:v>9.1810265126511512E-2</c:v>
                </c:pt>
                <c:pt idx="73">
                  <c:v>8.248311725540923E-2</c:v>
                </c:pt>
                <c:pt idx="74">
                  <c:v>7.3905412316343511E-2</c:v>
                </c:pt>
                <c:pt idx="75">
                  <c:v>6.6042782188712942E-2</c:v>
                </c:pt>
                <c:pt idx="76">
                  <c:v>5.885906302440224E-2</c:v>
                </c:pt>
                <c:pt idx="77">
                  <c:v>5.2316833625435752E-2</c:v>
                </c:pt>
                <c:pt idx="78">
                  <c:v>4.6377917509179932E-2</c:v>
                </c:pt>
                <c:pt idx="79">
                  <c:v>4.1003843962988208E-2</c:v>
                </c:pt>
                <c:pt idx="80">
                  <c:v>3.615626472446077E-2</c:v>
                </c:pt>
                <c:pt idx="81">
                  <c:v>3.1797324186130238E-2</c:v>
                </c:pt>
                <c:pt idx="82">
                  <c:v>2.7889982189139122E-2</c:v>
                </c:pt>
                <c:pt idx="83">
                  <c:v>2.4398289520068471E-2</c:v>
                </c:pt>
                <c:pt idx="84">
                  <c:v>2.1287617145095489E-2</c:v>
                </c:pt>
                <c:pt idx="85">
                  <c:v>1.8524840998173923E-2</c:v>
                </c:pt>
                <c:pt idx="86">
                  <c:v>1.6078484782148152E-2</c:v>
                </c:pt>
                <c:pt idx="87">
                  <c:v>1.3918823745244266E-2</c:v>
                </c:pt>
                <c:pt idx="88">
                  <c:v>1.2017952765719819E-2</c:v>
                </c:pt>
                <c:pt idx="89">
                  <c:v>1.0349822323144757E-2</c:v>
                </c:pt>
                <c:pt idx="90">
                  <c:v>8.8902460668051197E-3</c:v>
                </c:pt>
                <c:pt idx="91">
                  <c:v>7.6168837227241423E-3</c:v>
                </c:pt>
                <c:pt idx="92">
                  <c:v>6.5092030244804739E-3</c:v>
                </c:pt>
                <c:pt idx="93">
                  <c:v>5.5484242235466011E-3</c:v>
                </c:pt>
                <c:pt idx="94">
                  <c:v>4.7174505463650693E-3</c:v>
                </c:pt>
                <c:pt idx="95">
                  <c:v>4.0007877314520513E-3</c:v>
                </c:pt>
                <c:pt idx="96">
                  <c:v>3.3844555132386094E-3</c:v>
                </c:pt>
                <c:pt idx="97">
                  <c:v>2.8558936318124986E-3</c:v>
                </c:pt>
                <c:pt idx="98">
                  <c:v>2.4038646496038194E-3</c:v>
                </c:pt>
                <c:pt idx="99">
                  <c:v>2.018355556365572E-3</c:v>
                </c:pt>
                <c:pt idx="100">
                  <c:v>1.6904798501102378E-3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9A-4A17-85A4-4B2FEA01DC42}"/>
            </c:ext>
          </c:extLst>
        </c:ser>
        <c:ser>
          <c:idx val="1"/>
          <c:order val="1"/>
          <c:tx>
            <c:v>ITM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Greeks_B76!$M$12:$M$112</c:f>
              <c:numCache>
                <c:formatCode>General</c:formatCode>
                <c:ptCount val="101"/>
                <c:pt idx="0">
                  <c:v>0.98007926253758648</c:v>
                </c:pt>
                <c:pt idx="1">
                  <c:v>0.98004122181174436</c:v>
                </c:pt>
                <c:pt idx="2">
                  <c:v>0.97999221674184789</c:v>
                </c:pt>
                <c:pt idx="3">
                  <c:v>0.97992945016835498</c:v>
                </c:pt>
                <c:pt idx="4">
                  <c:v>0.9798495161968489</c:v>
                </c:pt>
                <c:pt idx="5">
                  <c:v>0.97974829532087859</c:v>
                </c:pt>
                <c:pt idx="6">
                  <c:v>0.97962083808898748</c:v>
                </c:pt>
                <c:pt idx="7">
                  <c:v>0.97946123756111558</c:v>
                </c:pt>
                <c:pt idx="8">
                  <c:v>0.97926249120503372</c:v>
                </c:pt>
                <c:pt idx="9">
                  <c:v>0.97901635335694481</c:v>
                </c:pt>
                <c:pt idx="10">
                  <c:v>0.97871317990725826</c:v>
                </c:pt>
                <c:pt idx="11">
                  <c:v>0.97834176746430401</c:v>
                </c:pt>
                <c:pt idx="12">
                  <c:v>0.97788918988274054</c:v>
                </c:pt>
                <c:pt idx="13">
                  <c:v>0.97734063570252316</c:v>
                </c:pt>
                <c:pt idx="14">
                  <c:v>0.97667925070712447</c:v>
                </c:pt>
                <c:pt idx="15">
                  <c:v>0.97588599045070601</c:v>
                </c:pt>
                <c:pt idx="16">
                  <c:v>0.97493948819408194</c:v>
                </c:pt>
                <c:pt idx="17">
                  <c:v>0.97381594419680662</c:v>
                </c:pt>
                <c:pt idx="18">
                  <c:v>0.97248904270416159</c:v>
                </c:pt>
                <c:pt idx="19">
                  <c:v>0.97092990320955253</c:v>
                </c:pt>
                <c:pt idx="20">
                  <c:v>0.9691070726324964</c:v>
                </c:pt>
                <c:pt idx="21">
                  <c:v>0.96698656490065604</c:v>
                </c:pt>
                <c:pt idx="22">
                  <c:v>0.96453195403680758</c:v>
                </c:pt>
                <c:pt idx="23">
                  <c:v>0.96170452621034819</c:v>
                </c:pt>
                <c:pt idx="24">
                  <c:v>0.95846349530846564</c:v>
                </c:pt>
                <c:pt idx="25">
                  <c:v>0.95476628541467923</c:v>
                </c:pt>
                <c:pt idx="26">
                  <c:v>0.95056888216327839</c:v>
                </c:pt>
                <c:pt idx="27">
                  <c:v>0.94582625329006575</c:v>
                </c:pt>
                <c:pt idx="28">
                  <c:v>0.94049283685736884</c:v>
                </c:pt>
                <c:pt idx="29">
                  <c:v>0.93452309364060171</c:v>
                </c:pt>
                <c:pt idx="30">
                  <c:v>0.92787211808129022</c:v>
                </c:pt>
                <c:pt idx="31">
                  <c:v>0.9204963001029125</c:v>
                </c:pt>
                <c:pt idx="32">
                  <c:v>0.9123540280233744</c:v>
                </c:pt>
                <c:pt idx="33">
                  <c:v>0.90340642085786416</c:v>
                </c:pt>
                <c:pt idx="34">
                  <c:v>0.89361807656565273</c:v>
                </c:pt>
                <c:pt idx="35">
                  <c:v>0.8829578213295397</c:v>
                </c:pt>
                <c:pt idx="36">
                  <c:v>0.87139944383670964</c:v>
                </c:pt>
                <c:pt idx="37">
                  <c:v>0.85892239781570479</c:v>
                </c:pt>
                <c:pt idx="38">
                  <c:v>0.84551245582472356</c:v>
                </c:pt>
                <c:pt idx="39">
                  <c:v>0.83116229751571202</c:v>
                </c:pt>
                <c:pt idx="40">
                  <c:v>0.81587201633382278</c:v>
                </c:pt>
                <c:pt idx="41">
                  <c:v>0.79964952985182625</c:v>
                </c:pt>
                <c:pt idx="42">
                  <c:v>0.78251088066386332</c:v>
                </c:pt>
                <c:pt idx="43">
                  <c:v>0.76448041693366997</c:v>
                </c:pt>
                <c:pt idx="44">
                  <c:v>0.74559084425268074</c:v>
                </c:pt>
                <c:pt idx="45">
                  <c:v>0.72588314334062609</c:v>
                </c:pt>
                <c:pt idx="46">
                  <c:v>0.70540635122984019</c:v>
                </c:pt>
                <c:pt idx="47">
                  <c:v>0.68421720681871467</c:v>
                </c:pt>
                <c:pt idx="48">
                  <c:v>0.66237966495766132</c:v>
                </c:pt>
                <c:pt idx="49">
                  <c:v>0.63996428643820125</c:v>
                </c:pt>
                <c:pt idx="50">
                  <c:v>0.61704751429013194</c:v>
                </c:pt>
                <c:pt idx="51">
                  <c:v>0.59371084955662357</c:v>
                </c:pt>
                <c:pt idx="52">
                  <c:v>0.57003994212560172</c:v>
                </c:pt>
                <c:pt idx="53">
                  <c:v>0.54612361417451682</c:v>
                </c:pt>
                <c:pt idx="54">
                  <c:v>0.52205283527596535</c:v>
                </c:pt>
                <c:pt idx="55">
                  <c:v>0.49791966917391012</c:v>
                </c:pt>
                <c:pt idx="56">
                  <c:v>0.47381621265249446</c:v>
                </c:pt>
                <c:pt idx="57">
                  <c:v>0.44983354678012832</c:v>
                </c:pt>
                <c:pt idx="58">
                  <c:v>0.42606072013711943</c:v>
                </c:pt>
                <c:pt idx="59">
                  <c:v>0.40258378246045234</c:v>
                </c:pt>
                <c:pt idx="60">
                  <c:v>0.37948488551460363</c:v>
                </c:pt>
                <c:pt idx="61">
                  <c:v>0.35684146598624028</c:v>
                </c:pt>
                <c:pt idx="62">
                  <c:v>0.33472552287747598</c:v>
                </c:pt>
                <c:pt idx="63">
                  <c:v>0.31320299931823259</c:v>
                </c:pt>
                <c:pt idx="64">
                  <c:v>0.29233327601851383</c:v>
                </c:pt>
                <c:pt idx="65">
                  <c:v>0.27216878082176149</c:v>
                </c:pt>
                <c:pt idx="66">
                  <c:v>0.25275471608411376</c:v>
                </c:pt>
                <c:pt idx="67">
                  <c:v>0.23412890296912051</c:v>
                </c:pt>
                <c:pt idx="68">
                  <c:v>0.21632173928307244</c:v>
                </c:pt>
                <c:pt idx="69">
                  <c:v>0.19935626524259872</c:v>
                </c:pt>
                <c:pt idx="70">
                  <c:v>0.18324832961211243</c:v>
                </c:pt>
                <c:pt idx="71">
                  <c:v>0.16800684701038396</c:v>
                </c:pt>
                <c:pt idx="72">
                  <c:v>0.15363413588673372</c:v>
                </c:pt>
                <c:pt idx="73">
                  <c:v>0.14012632571917005</c:v>
                </c:pt>
                <c:pt idx="74">
                  <c:v>0.12747382138868812</c:v>
                </c:pt>
                <c:pt idx="75">
                  <c:v>0.1156618124242898</c:v>
                </c:pt>
                <c:pt idx="76">
                  <c:v>0.10467081487107162</c:v>
                </c:pt>
                <c:pt idx="77">
                  <c:v>9.4477233879973505E-2</c:v>
                </c:pt>
                <c:pt idx="78">
                  <c:v>8.505393571729028E-2</c:v>
                </c:pt>
                <c:pt idx="79">
                  <c:v>7.637081870516646E-2</c:v>
                </c:pt>
                <c:pt idx="80">
                  <c:v>6.8395373588773067E-2</c:v>
                </c:pt>
                <c:pt idx="81">
                  <c:v>6.1093224938473099E-2</c:v>
                </c:pt>
                <c:pt idx="82">
                  <c:v>5.4428646393332815E-2</c:v>
                </c:pt>
                <c:pt idx="83">
                  <c:v>4.8365043795153516E-2</c:v>
                </c:pt>
                <c:pt idx="84">
                  <c:v>4.2865401512142944E-2</c:v>
                </c:pt>
                <c:pt idx="85">
                  <c:v>3.7892688474743356E-2</c:v>
                </c:pt>
                <c:pt idx="86">
                  <c:v>3.3410221613951491E-2</c:v>
                </c:pt>
                <c:pt idx="87">
                  <c:v>2.938198548066466E-2</c:v>
                </c:pt>
                <c:pt idx="88">
                  <c:v>2.5772907814330909E-2</c:v>
                </c:pt>
                <c:pt idx="89">
                  <c:v>2.2549091706770434E-2</c:v>
                </c:pt>
                <c:pt idx="90">
                  <c:v>1.9678005763757868E-2</c:v>
                </c:pt>
                <c:pt idx="91">
                  <c:v>1.712863429862499E-2</c:v>
                </c:pt>
                <c:pt idx="92">
                  <c:v>1.4871590098758184E-2</c:v>
                </c:pt>
                <c:pt idx="93">
                  <c:v>1.2879192690933352E-2</c:v>
                </c:pt>
                <c:pt idx="94">
                  <c:v>1.1125515301460259E-2</c:v>
                </c:pt>
                <c:pt idx="95">
                  <c:v>9.58640387096109E-3</c:v>
                </c:pt>
                <c:pt idx="96">
                  <c:v>8.2394715518508427E-3</c:v>
                </c:pt>
                <c:pt idx="97">
                  <c:v>7.0640721010098778E-3</c:v>
                </c:pt>
                <c:pt idx="98">
                  <c:v>6.0412554930949968E-3</c:v>
                </c:pt>
                <c:pt idx="99">
                  <c:v>5.1537089339889442E-3</c:v>
                </c:pt>
                <c:pt idx="100">
                  <c:v>4.3856862613039704E-3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9A-4A17-85A4-4B2FEA01DC42}"/>
            </c:ext>
          </c:extLst>
        </c:ser>
        <c:ser>
          <c:idx val="2"/>
          <c:order val="2"/>
          <c:tx>
            <c:v>OTM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Greeks_B76!$O$12:$O$112</c:f>
              <c:numCache>
                <c:formatCode>General</c:formatCode>
                <c:ptCount val="101"/>
                <c:pt idx="0">
                  <c:v>0.97905380840882084</c:v>
                </c:pt>
                <c:pt idx="1">
                  <c:v>0.97875093828658188</c:v>
                </c:pt>
                <c:pt idx="2">
                  <c:v>0.97837775260273319</c:v>
                </c:pt>
                <c:pt idx="3">
                  <c:v>0.97792051335570573</c:v>
                </c:pt>
                <c:pt idx="4">
                  <c:v>0.97736341474598487</c:v>
                </c:pt>
                <c:pt idx="5">
                  <c:v>0.97668840420369174</c:v>
                </c:pt>
                <c:pt idx="6">
                  <c:v>0.97587501462966997</c:v>
                </c:pt>
                <c:pt idx="7">
                  <c:v>0.97490021429533258</c:v>
                </c:pt>
                <c:pt idx="8">
                  <c:v>0.97373828147024355</c:v>
                </c:pt>
                <c:pt idx="9">
                  <c:v>0.9723607113258822</c:v>
                </c:pt>
                <c:pt idx="10">
                  <c:v>0.97073616295603515</c:v>
                </c:pt>
                <c:pt idx="11">
                  <c:v>0.96883045441735283</c:v>
                </c:pt>
                <c:pt idx="12">
                  <c:v>0.96660661349036803</c:v>
                </c:pt>
                <c:pt idx="13">
                  <c:v>0.96402499136080266</c:v>
                </c:pt>
                <c:pt idx="14">
                  <c:v>0.9610434456013025</c:v>
                </c:pt>
                <c:pt idx="15">
                  <c:v>0.95761759768399568</c:v>
                </c:pt>
                <c:pt idx="16">
                  <c:v>0.95370116877672051</c:v>
                </c:pt>
                <c:pt idx="17">
                  <c:v>0.94924639578721881</c:v>
                </c:pt>
                <c:pt idx="18">
                  <c:v>0.94420452755217488</c:v>
                </c:pt>
                <c:pt idx="19">
                  <c:v>0.93852639876943</c:v>
                </c:pt>
                <c:pt idx="20">
                  <c:v>0.93216307680448063</c:v>
                </c:pt>
                <c:pt idx="21">
                  <c:v>0.92506657394236258</c:v>
                </c:pt>
                <c:pt idx="22">
                  <c:v>0.91719061509008293</c:v>
                </c:pt>
                <c:pt idx="23">
                  <c:v>0.90849144845764118</c:v>
                </c:pt>
                <c:pt idx="24">
                  <c:v>0.89892868445633378</c:v>
                </c:pt>
                <c:pt idx="25">
                  <c:v>0.88846614605038876</c:v>
                </c:pt>
                <c:pt idx="26">
                  <c:v>0.87707271217630078</c:v>
                </c:pt>
                <c:pt idx="27">
                  <c:v>0.86472313468876782</c:v>
                </c:pt>
                <c:pt idx="28">
                  <c:v>0.85139880867450879</c:v>
                </c:pt>
                <c:pt idx="29">
                  <c:v>0.83708847594954039</c:v>
                </c:pt>
                <c:pt idx="30">
                  <c:v>0.82178884215510906</c:v>
                </c:pt>
                <c:pt idx="31">
                  <c:v>0.8055050891024168</c:v>
                </c:pt>
                <c:pt idx="32">
                  <c:v>0.78825126587196459</c:v>
                </c:pt>
                <c:pt idx="33">
                  <c:v>0.77005054461021583</c:v>
                </c:pt>
                <c:pt idx="34">
                  <c:v>0.75093532992076872</c:v>
                </c:pt>
                <c:pt idx="35">
                  <c:v>0.73094721413382657</c:v>
                </c:pt>
                <c:pt idx="36">
                  <c:v>0.71013677445206536</c:v>
                </c:pt>
                <c:pt idx="37">
                  <c:v>0.68856321189404235</c:v>
                </c:pt>
                <c:pt idx="38">
                  <c:v>0.66629383595909342</c:v>
                </c:pt>
                <c:pt idx="39">
                  <c:v>0.64340340288676168</c:v>
                </c:pt>
                <c:pt idx="40">
                  <c:v>0.61997331914678089</c:v>
                </c:pt>
                <c:pt idx="41">
                  <c:v>0.59609072524644036</c:v>
                </c:pt>
                <c:pt idx="42">
                  <c:v>0.57184747796668367</c:v>
                </c:pt>
                <c:pt idx="43">
                  <c:v>0.5473390516385489</c:v>
                </c:pt>
                <c:pt idx="44">
                  <c:v>0.52266338096989484</c:v>
                </c:pt>
                <c:pt idx="45">
                  <c:v>0.49791966917391012</c:v>
                </c:pt>
                <c:pt idx="46">
                  <c:v>0.47320718570598963</c:v>
                </c:pt>
                <c:pt idx="47">
                  <c:v>0.44862407777932473</c:v>
                </c:pt>
                <c:pt idx="48">
                  <c:v>0.42426621902282585</c:v>
                </c:pt>
                <c:pt idx="49">
                  <c:v>0.40022611721116474</c:v>
                </c:pt>
                <c:pt idx="50">
                  <c:v>0.37659190100073231</c:v>
                </c:pt>
                <c:pt idx="51">
                  <c:v>0.35344640312893733</c:v>
                </c:pt>
                <c:pt idx="52">
                  <c:v>0.33086635467344444</c:v>
                </c:pt>
                <c:pt idx="53">
                  <c:v>0.308921701827298</c:v>
                </c:pt>
                <c:pt idx="54">
                  <c:v>0.28767505333514587</c:v>
                </c:pt>
                <c:pt idx="55">
                  <c:v>0.26718126336474651</c:v>
                </c:pt>
                <c:pt idx="56">
                  <c:v>0.24748715126250548</c:v>
                </c:pt>
                <c:pt idx="57">
                  <c:v>0.22863135646022104</c:v>
                </c:pt>
                <c:pt idx="58">
                  <c:v>0.21064432384963594</c:v>
                </c:pt>
                <c:pt idx="59">
                  <c:v>0.19354841229569197</c:v>
                </c:pt>
                <c:pt idx="60">
                  <c:v>0.17735811667694196</c:v>
                </c:pt>
                <c:pt idx="61">
                  <c:v>0.16208039196456384</c:v>
                </c:pt>
                <c:pt idx="62">
                  <c:v>0.14771506640538337</c:v>
                </c:pt>
                <c:pt idx="63">
                  <c:v>0.13425532986846264</c:v>
                </c:pt>
                <c:pt idx="64">
                  <c:v>0.12168828284323849</c:v>
                </c:pt>
                <c:pt idx="65">
                  <c:v>0.10999553142030279</c:v>
                </c:pt>
                <c:pt idx="66">
                  <c:v>9.9153813812292255E-2</c:v>
                </c:pt>
                <c:pt idx="67">
                  <c:v>8.9135644541137801E-2</c:v>
                </c:pt>
                <c:pt idx="68">
                  <c:v>7.990996328111985E-2</c:v>
                </c:pt>
                <c:pt idx="69">
                  <c:v>7.1442776451974124E-2</c:v>
                </c:pt>
                <c:pt idx="70">
                  <c:v>6.3697780947615509E-2</c:v>
                </c:pt>
                <c:pt idx="71">
                  <c:v>5.6636960808574943E-2</c:v>
                </c:pt>
                <c:pt idx="72">
                  <c:v>5.0221149146407337E-2</c:v>
                </c:pt>
                <c:pt idx="73">
                  <c:v>4.4410549156077492E-2</c:v>
                </c:pt>
                <c:pt idx="74">
                  <c:v>3.9165209562287452E-2</c:v>
                </c:pt>
                <c:pt idx="75">
                  <c:v>3.4445451298394159E-2</c:v>
                </c:pt>
                <c:pt idx="76">
                  <c:v>3.0212243578833547E-2</c:v>
                </c:pt>
                <c:pt idx="77">
                  <c:v>2.6427528771562004E-2</c:v>
                </c:pt>
                <c:pt idx="78">
                  <c:v>2.3054496586409349E-2</c:v>
                </c:pt>
                <c:pt idx="79">
                  <c:v>2.0057809055581119E-2</c:v>
                </c:pt>
                <c:pt idx="80">
                  <c:v>1.7403778587087169E-2</c:v>
                </c:pt>
                <c:pt idx="81">
                  <c:v>1.5060502019525777E-2</c:v>
                </c:pt>
                <c:pt idx="82">
                  <c:v>1.2997954101069475E-2</c:v>
                </c:pt>
                <c:pt idx="83">
                  <c:v>1.1188044164482566E-2</c:v>
                </c:pt>
                <c:pt idx="84">
                  <c:v>9.6046399844948813E-3</c:v>
                </c:pt>
                <c:pt idx="85">
                  <c:v>8.2235628972468378E-3</c:v>
                </c:pt>
                <c:pt idx="86">
                  <c:v>7.0225582487828293E-3</c:v>
                </c:pt>
                <c:pt idx="87">
                  <c:v>5.9812451365562035E-3</c:v>
                </c:pt>
                <c:pt idx="88">
                  <c:v>5.0810492307145671E-3</c:v>
                </c:pt>
                <c:pt idx="89">
                  <c:v>4.3051222263328819E-3</c:v>
                </c:pt>
                <c:pt idx="90">
                  <c:v>3.6382511987490284E-3</c:v>
                </c:pt>
                <c:pt idx="91">
                  <c:v>3.0667608256115201E-3</c:v>
                </c:pt>
                <c:pt idx="92">
                  <c:v>2.5784111136555724E-3</c:v>
                </c:pt>
                <c:pt idx="93">
                  <c:v>2.1622929365252858E-3</c:v>
                </c:pt>
                <c:pt idx="94">
                  <c:v>1.8087233614600957E-3</c:v>
                </c:pt>
                <c:pt idx="95">
                  <c:v>1.5091424250182988E-3</c:v>
                </c:pt>
                <c:pt idx="96">
                  <c:v>1.2560127172772965E-3</c:v>
                </c:pt>
                <c:pt idx="97">
                  <c:v>1.0427228546636942E-3</c:v>
                </c:pt>
                <c:pt idx="98">
                  <c:v>8.6349566688919744E-4</c:v>
                </c:pt>
                <c:pt idx="99">
                  <c:v>7.1330169531503467E-4</c:v>
                </c:pt>
                <c:pt idx="100">
                  <c:v>5.8777839929197108E-4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9A-4A17-85A4-4B2FEA01D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DeltraPut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Greeks_B76!$P$12:$P$112</c:f>
              <c:numCache>
                <c:formatCode>General</c:formatCode>
                <c:ptCount val="101"/>
                <c:pt idx="0">
                  <c:v>-1.1941076916877069E-4</c:v>
                </c:pt>
                <c:pt idx="1">
                  <c:v>-1.5745149501089628E-4</c:v>
                </c:pt>
                <c:pt idx="2">
                  <c:v>-2.0645656490736464E-4</c:v>
                </c:pt>
                <c:pt idx="3">
                  <c:v>-2.6922313840027634E-4</c:v>
                </c:pt>
                <c:pt idx="4">
                  <c:v>-3.4915710990635063E-4</c:v>
                </c:pt>
                <c:pt idx="5">
                  <c:v>-4.5037798587665989E-4</c:v>
                </c:pt>
                <c:pt idx="6">
                  <c:v>-5.778352177677748E-4</c:v>
                </c:pt>
                <c:pt idx="7">
                  <c:v>-7.3743574563966963E-4</c:v>
                </c:pt>
                <c:pt idx="8">
                  <c:v>-9.3618210172152772E-4</c:v>
                </c:pt>
                <c:pt idx="9">
                  <c:v>-1.1823199498104398E-3</c:v>
                </c:pt>
                <c:pt idx="10">
                  <c:v>-1.4854933994969954E-3</c:v>
                </c:pt>
                <c:pt idx="11">
                  <c:v>-1.8569058424512397E-3</c:v>
                </c:pt>
                <c:pt idx="12">
                  <c:v>-2.3094834240147133E-3</c:v>
                </c:pt>
                <c:pt idx="13">
                  <c:v>-2.8580376042320887E-3</c:v>
                </c:pt>
                <c:pt idx="14">
                  <c:v>-3.5194225996307837E-3</c:v>
                </c:pt>
                <c:pt idx="15">
                  <c:v>-4.3126828560492436E-3</c:v>
                </c:pt>
                <c:pt idx="16">
                  <c:v>-5.2591851126733147E-3</c:v>
                </c:pt>
                <c:pt idx="17">
                  <c:v>-6.3827291099486372E-3</c:v>
                </c:pt>
                <c:pt idx="18">
                  <c:v>-7.7096306025936645E-3</c:v>
                </c:pt>
                <c:pt idx="19">
                  <c:v>-9.2687700972027276E-3</c:v>
                </c:pt>
                <c:pt idx="20">
                  <c:v>-1.109160067425885E-2</c:v>
                </c:pt>
                <c:pt idx="21">
                  <c:v>-1.321210840609921E-2</c:v>
                </c:pt>
                <c:pt idx="22">
                  <c:v>-1.5666719269947671E-2</c:v>
                </c:pt>
                <c:pt idx="23">
                  <c:v>-1.8494147096407065E-2</c:v>
                </c:pt>
                <c:pt idx="24">
                  <c:v>-2.1735177998289612E-2</c:v>
                </c:pt>
                <c:pt idx="25">
                  <c:v>-2.5432387892076025E-2</c:v>
                </c:pt>
                <c:pt idx="26">
                  <c:v>-2.9629791143476858E-2</c:v>
                </c:pt>
                <c:pt idx="27">
                  <c:v>-3.4372420016689498E-2</c:v>
                </c:pt>
                <c:pt idx="28">
                  <c:v>-3.9705836449386411E-2</c:v>
                </c:pt>
                <c:pt idx="29">
                  <c:v>-4.5675579666153543E-2</c:v>
                </c:pt>
                <c:pt idx="30">
                  <c:v>-5.2326555225465032E-2</c:v>
                </c:pt>
                <c:pt idx="31">
                  <c:v>-5.9702373203842751E-2</c:v>
                </c:pt>
                <c:pt idx="32">
                  <c:v>-6.7844645283380856E-2</c:v>
                </c:pt>
                <c:pt idx="33">
                  <c:v>-7.6792252448891096E-2</c:v>
                </c:pt>
                <c:pt idx="34">
                  <c:v>-8.6580596741102522E-2</c:v>
                </c:pt>
                <c:pt idx="35">
                  <c:v>-9.7240851977215548E-2</c:v>
                </c:pt>
                <c:pt idx="36">
                  <c:v>-0.10879922947004561</c:v>
                </c:pt>
                <c:pt idx="37">
                  <c:v>-0.12127627549105047</c:v>
                </c:pt>
                <c:pt idx="38">
                  <c:v>-0.13468621748203169</c:v>
                </c:pt>
                <c:pt idx="39">
                  <c:v>-0.14903637579104323</c:v>
                </c:pt>
                <c:pt idx="40">
                  <c:v>-0.16432665697293247</c:v>
                </c:pt>
                <c:pt idx="41">
                  <c:v>-0.18054914345492901</c:v>
                </c:pt>
                <c:pt idx="42">
                  <c:v>-0.19768779264289194</c:v>
                </c:pt>
                <c:pt idx="43">
                  <c:v>-0.21571825637308528</c:v>
                </c:pt>
                <c:pt idx="44">
                  <c:v>-0.23460782905407451</c:v>
                </c:pt>
                <c:pt idx="45">
                  <c:v>-0.25431552996612916</c:v>
                </c:pt>
                <c:pt idx="46">
                  <c:v>-0.27479232207691506</c:v>
                </c:pt>
                <c:pt idx="47">
                  <c:v>-0.29598146648804058</c:v>
                </c:pt>
                <c:pt idx="48">
                  <c:v>-0.31781900834909393</c:v>
                </c:pt>
                <c:pt idx="49">
                  <c:v>-0.34023438686855401</c:v>
                </c:pt>
                <c:pt idx="50">
                  <c:v>-0.36315115901662331</c:v>
                </c:pt>
                <c:pt idx="51">
                  <c:v>-0.38648782375013169</c:v>
                </c:pt>
                <c:pt idx="52">
                  <c:v>-0.41015873118115354</c:v>
                </c:pt>
                <c:pt idx="53">
                  <c:v>-0.43407505913223843</c:v>
                </c:pt>
                <c:pt idx="54">
                  <c:v>-0.4581458380307899</c:v>
                </c:pt>
                <c:pt idx="55">
                  <c:v>-0.48227900413284513</c:v>
                </c:pt>
                <c:pt idx="56">
                  <c:v>-0.50638246065426085</c:v>
                </c:pt>
                <c:pt idx="57">
                  <c:v>-0.53036512652662693</c:v>
                </c:pt>
                <c:pt idx="58">
                  <c:v>-0.55413795316963577</c:v>
                </c:pt>
                <c:pt idx="59">
                  <c:v>-0.57761489084630291</c:v>
                </c:pt>
                <c:pt idx="60">
                  <c:v>-0.60071378779215157</c:v>
                </c:pt>
                <c:pt idx="61">
                  <c:v>-0.62335720732051492</c:v>
                </c:pt>
                <c:pt idx="62">
                  <c:v>-0.64547315042927922</c:v>
                </c:pt>
                <c:pt idx="63">
                  <c:v>-0.66699567398852266</c:v>
                </c:pt>
                <c:pt idx="64">
                  <c:v>-0.68786539728824136</c:v>
                </c:pt>
                <c:pt idx="65">
                  <c:v>-0.70802989248499371</c:v>
                </c:pt>
                <c:pt idx="66">
                  <c:v>-0.72744395722264144</c:v>
                </c:pt>
                <c:pt idx="67">
                  <c:v>-0.74606977033763477</c:v>
                </c:pt>
                <c:pt idx="68">
                  <c:v>-0.76387693402368284</c:v>
                </c:pt>
                <c:pt idx="69">
                  <c:v>-0.7808424080641565</c:v>
                </c:pt>
                <c:pt idx="70">
                  <c:v>-0.79695034369464279</c:v>
                </c:pt>
                <c:pt idx="71">
                  <c:v>-0.81219182629637132</c:v>
                </c:pt>
                <c:pt idx="72">
                  <c:v>-0.82656453742002156</c:v>
                </c:pt>
                <c:pt idx="73">
                  <c:v>-0.8400723475875852</c:v>
                </c:pt>
                <c:pt idx="74">
                  <c:v>-0.85272485191806713</c:v>
                </c:pt>
                <c:pt idx="75">
                  <c:v>-0.86453686088246551</c:v>
                </c:pt>
                <c:pt idx="76">
                  <c:v>-0.87552785843568359</c:v>
                </c:pt>
                <c:pt idx="77">
                  <c:v>-0.88572143942678172</c:v>
                </c:pt>
                <c:pt idx="78">
                  <c:v>-0.895144737589465</c:v>
                </c:pt>
                <c:pt idx="79">
                  <c:v>-0.90382785460158876</c:v>
                </c:pt>
                <c:pt idx="80">
                  <c:v>-0.91180329971798213</c:v>
                </c:pt>
                <c:pt idx="81">
                  <c:v>-0.91910544836828212</c:v>
                </c:pt>
                <c:pt idx="82">
                  <c:v>-0.92577002691342247</c:v>
                </c:pt>
                <c:pt idx="83">
                  <c:v>-0.93183362951160176</c:v>
                </c:pt>
                <c:pt idx="84">
                  <c:v>-0.93733327179461234</c:v>
                </c:pt>
                <c:pt idx="85">
                  <c:v>-0.94230598483201189</c:v>
                </c:pt>
                <c:pt idx="86">
                  <c:v>-0.94678845169280379</c:v>
                </c:pt>
                <c:pt idx="87">
                  <c:v>-0.95081668782609063</c:v>
                </c:pt>
                <c:pt idx="88">
                  <c:v>-0.95442576549242431</c:v>
                </c:pt>
                <c:pt idx="89">
                  <c:v>-0.95764958159998481</c:v>
                </c:pt>
                <c:pt idx="90">
                  <c:v>-0.96052066754299736</c:v>
                </c:pt>
                <c:pt idx="91">
                  <c:v>-0.96307003900813026</c:v>
                </c:pt>
                <c:pt idx="92">
                  <c:v>-0.96532708320799709</c:v>
                </c:pt>
                <c:pt idx="93">
                  <c:v>-0.96731948061582185</c:v>
                </c:pt>
                <c:pt idx="94">
                  <c:v>-0.96907315800529503</c:v>
                </c:pt>
                <c:pt idx="95">
                  <c:v>-0.97061226943579415</c:v>
                </c:pt>
                <c:pt idx="96">
                  <c:v>-0.97195920175490436</c:v>
                </c:pt>
                <c:pt idx="97">
                  <c:v>-0.97313460120574535</c:v>
                </c:pt>
                <c:pt idx="98">
                  <c:v>-0.97415741781366028</c:v>
                </c:pt>
                <c:pt idx="99">
                  <c:v>-0.97504496437276633</c:v>
                </c:pt>
                <c:pt idx="100">
                  <c:v>-0.97581298704545127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BA8-4448-B403-BC14DB23EE48}"/>
            </c:ext>
          </c:extLst>
        </c:ser>
        <c:ser>
          <c:idx val="1"/>
          <c:order val="1"/>
          <c:tx>
            <c:v>ATM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Greeks_B76!$Q$12:$Q$112</c:f>
              <c:numCache>
                <c:formatCode>General</c:formatCode>
                <c:ptCount val="101"/>
                <c:pt idx="0">
                  <c:v>-3.8437392113999103E-4</c:v>
                </c:pt>
                <c:pt idx="1">
                  <c:v>-4.9635253660118561E-4</c:v>
                </c:pt>
                <c:pt idx="2">
                  <c:v>-6.3745217842114954E-4</c:v>
                </c:pt>
                <c:pt idx="3">
                  <c:v>-8.1423462672169933E-4</c:v>
                </c:pt>
                <c:pt idx="4">
                  <c:v>-1.0344740250930462E-3</c:v>
                </c:pt>
                <c:pt idx="5">
                  <c:v>-1.3073174725930503E-3</c:v>
                </c:pt>
                <c:pt idx="6">
                  <c:v>-1.6434530670965675E-3</c:v>
                </c:pt>
                <c:pt idx="7">
                  <c:v>-2.0552826573193572E-3</c:v>
                </c:pt>
                <c:pt idx="8">
                  <c:v>-2.557095846398294E-3</c:v>
                </c:pt>
                <c:pt idx="9">
                  <c:v>-3.1652410571654244E-3</c:v>
                </c:pt>
                <c:pt idx="10">
                  <c:v>-3.8982887445293546E-3</c:v>
                </c:pt>
                <c:pt idx="11">
                  <c:v>-4.777181154462129E-3</c:v>
                </c:pt>
                <c:pt idx="12">
                  <c:v>-5.8253624164361639E-3</c:v>
                </c:pt>
                <c:pt idx="13">
                  <c:v>-7.0688822537701146E-3</c:v>
                </c:pt>
                <c:pt idx="14">
                  <c:v>-8.536466242383578E-3</c:v>
                </c:pt>
                <c:pt idx="15">
                  <c:v>-1.0259545380516766E-2</c:v>
                </c:pt>
                <c:pt idx="16">
                  <c:v>-1.2272237785144968E-2</c:v>
                </c:pt>
                <c:pt idx="17">
                  <c:v>-1.4611275635674992E-2</c:v>
                </c:pt>
                <c:pt idx="18">
                  <c:v>-1.7315871065924249E-2</c:v>
                </c:pt>
                <c:pt idx="19">
                  <c:v>-2.0427515576599053E-2</c:v>
                </c:pt>
                <c:pt idx="20">
                  <c:v>-2.3989708707190638E-2</c:v>
                </c:pt>
                <c:pt idx="21">
                  <c:v>-2.8047613161104157E-2</c:v>
                </c:pt>
                <c:pt idx="22">
                  <c:v>-3.264763530060566E-2</c:v>
                </c:pt>
                <c:pt idx="23">
                  <c:v>-3.7836931884931979E-2</c:v>
                </c:pt>
                <c:pt idx="24">
                  <c:v>-4.3662846068428851E-2</c:v>
                </c:pt>
                <c:pt idx="25">
                  <c:v>-5.0172277946125776E-2</c:v>
                </c:pt>
                <c:pt idx="26">
                  <c:v>-5.7410997261004848E-2</c:v>
                </c:pt>
                <c:pt idx="27">
                  <c:v>-6.5422908190989393E-2</c:v>
                </c:pt>
                <c:pt idx="28">
                  <c:v>-7.4249278329102331E-2</c:v>
                </c:pt>
                <c:pt idx="29">
                  <c:v>-8.3927945969641038E-2</c:v>
                </c:pt>
                <c:pt idx="30">
                  <c:v>-9.4492521530172402E-2</c:v>
                </c:pt>
                <c:pt idx="31">
                  <c:v>-0.1059716002923704</c:v>
                </c:pt>
                <c:pt idx="32">
                  <c:v>-0.11838800456222343</c:v>
                </c:pt>
                <c:pt idx="33">
                  <c:v>-0.13175807377249094</c:v>
                </c:pt>
                <c:pt idx="34">
                  <c:v>-0.14609102093441928</c:v>
                </c:pt>
                <c:pt idx="35">
                  <c:v>-0.16138837316709276</c:v>
                </c:pt>
                <c:pt idx="36">
                  <c:v>-0.17764351278768931</c:v>
                </c:pt>
                <c:pt idx="37">
                  <c:v>-0.19484133365210776</c:v>
                </c:pt>
                <c:pt idx="38">
                  <c:v>-0.21295802513243334</c:v>
                </c:pt>
                <c:pt idx="39">
                  <c:v>-0.23196099336570009</c:v>
                </c:pt>
                <c:pt idx="40">
                  <c:v>-0.25180892628610929</c:v>
                </c:pt>
                <c:pt idx="41">
                  <c:v>-0.27245200555491533</c:v>
                </c:pt>
                <c:pt idx="42">
                  <c:v>-0.29383226493536685</c:v>
                </c:pt>
                <c:pt idx="43">
                  <c:v>-0.31588409103890713</c:v>
                </c:pt>
                <c:pt idx="44">
                  <c:v>-0.33853485881143175</c:v>
                </c:pt>
                <c:pt idx="45">
                  <c:v>-0.36170569075090786</c:v>
                </c:pt>
                <c:pt idx="46">
                  <c:v>-0.38531232576050167</c:v>
                </c:pt>
                <c:pt idx="47">
                  <c:v>-0.40926608084381222</c:v>
                </c:pt>
                <c:pt idx="48">
                  <c:v>-0.43347488662601297</c:v>
                </c:pt>
                <c:pt idx="49">
                  <c:v>-0.45784437600356709</c:v>
                </c:pt>
                <c:pt idx="50">
                  <c:v>-0.48227900413284513</c:v>
                </c:pt>
                <c:pt idx="51">
                  <c:v>-0.50668317748956238</c:v>
                </c:pt>
                <c:pt idx="52">
                  <c:v>-0.53096236986970879</c:v>
                </c:pt>
                <c:pt idx="53">
                  <c:v>-0.55502420393993046</c:v>
                </c:pt>
                <c:pt idx="54">
                  <c:v>-0.57877947824229814</c:v>
                </c:pt>
                <c:pt idx="55">
                  <c:v>-0.60214312135805781</c:v>
                </c:pt>
                <c:pt idx="56">
                  <c:v>-0.62503505716508723</c:v>
                </c:pt>
                <c:pt idx="57">
                  <c:v>-0.64738096770018505</c:v>
                </c:pt>
                <c:pt idx="58">
                  <c:v>-0.66911294296778601</c:v>
                </c:pt>
                <c:pt idx="59">
                  <c:v>-0.69017001002464884</c:v>
                </c:pt>
                <c:pt idx="60">
                  <c:v>-0.71049853671847418</c:v>
                </c:pt>
                <c:pt idx="61">
                  <c:v>-0.73005250847347858</c:v>
                </c:pt>
                <c:pt idx="62">
                  <c:v>-0.74879367941039798</c:v>
                </c:pt>
                <c:pt idx="63">
                  <c:v>-0.76669160178409557</c:v>
                </c:pt>
                <c:pt idx="64">
                  <c:v>-0.78372354015251056</c:v>
                </c:pt>
                <c:pt idx="65">
                  <c:v>-0.79987427880269402</c:v>
                </c:pt>
                <c:pt idx="66">
                  <c:v>-0.81513583271404833</c:v>
                </c:pt>
                <c:pt idx="67">
                  <c:v>-0.82950707371084897</c:v>
                </c:pt>
                <c:pt idx="68">
                  <c:v>-0.84299328443531574</c:v>
                </c:pt>
                <c:pt idx="69">
                  <c:v>-0.85560565336183747</c:v>
                </c:pt>
                <c:pt idx="70">
                  <c:v>-0.86736072428766087</c:v>
                </c:pt>
                <c:pt idx="71">
                  <c:v>-0.87827981360116791</c:v>
                </c:pt>
                <c:pt idx="72">
                  <c:v>-0.88838840818024378</c:v>
                </c:pt>
                <c:pt idx="73">
                  <c:v>-0.89771555605134601</c:v>
                </c:pt>
                <c:pt idx="74">
                  <c:v>-0.90629326099041174</c:v>
                </c:pt>
                <c:pt idx="75">
                  <c:v>-0.9141558911180423</c:v>
                </c:pt>
                <c:pt idx="76">
                  <c:v>-0.92133961028235301</c:v>
                </c:pt>
                <c:pt idx="77">
                  <c:v>-0.92788183968131954</c:v>
                </c:pt>
                <c:pt idx="78">
                  <c:v>-0.93382075579757529</c:v>
                </c:pt>
                <c:pt idx="79">
                  <c:v>-0.93919482934376708</c:v>
                </c:pt>
                <c:pt idx="80">
                  <c:v>-0.94404240858229449</c:v>
                </c:pt>
                <c:pt idx="81">
                  <c:v>-0.94840134912062501</c:v>
                </c:pt>
                <c:pt idx="82">
                  <c:v>-0.95230869111761618</c:v>
                </c:pt>
                <c:pt idx="83">
                  <c:v>-0.95580038378668675</c:v>
                </c:pt>
                <c:pt idx="84">
                  <c:v>-0.95891105616165973</c:v>
                </c:pt>
                <c:pt idx="85">
                  <c:v>-0.96167383230858128</c:v>
                </c:pt>
                <c:pt idx="86">
                  <c:v>-0.96412018852460712</c:v>
                </c:pt>
                <c:pt idx="87">
                  <c:v>-0.96627984956151103</c:v>
                </c:pt>
                <c:pt idx="88">
                  <c:v>-0.96818072054103543</c:v>
                </c:pt>
                <c:pt idx="89">
                  <c:v>-0.96984885098361051</c:v>
                </c:pt>
                <c:pt idx="90">
                  <c:v>-0.97130842723995015</c:v>
                </c:pt>
                <c:pt idx="91">
                  <c:v>-0.97258178958403108</c:v>
                </c:pt>
                <c:pt idx="92">
                  <c:v>-0.97368947028227482</c:v>
                </c:pt>
                <c:pt idx="93">
                  <c:v>-0.97465024908320863</c:v>
                </c:pt>
                <c:pt idx="94">
                  <c:v>-0.97548122276039018</c:v>
                </c:pt>
                <c:pt idx="95">
                  <c:v>-0.97619788557530318</c:v>
                </c:pt>
                <c:pt idx="96">
                  <c:v>-0.97681421779351663</c:v>
                </c:pt>
                <c:pt idx="97">
                  <c:v>-0.97734277967494276</c:v>
                </c:pt>
                <c:pt idx="98">
                  <c:v>-0.9777948086571514</c:v>
                </c:pt>
                <c:pt idx="99">
                  <c:v>-0.97818031775038972</c:v>
                </c:pt>
                <c:pt idx="100">
                  <c:v>-0.97850819345664497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BA8-4448-B403-BC14DB23EE48}"/>
            </c:ext>
          </c:extLst>
        </c:ser>
        <c:ser>
          <c:idx val="2"/>
          <c:order val="2"/>
          <c:tx>
            <c:v>OTM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Greeks_B76!$R$12:$R$112</c:f>
              <c:numCache>
                <c:formatCode>General</c:formatCode>
                <c:ptCount val="101"/>
                <c:pt idx="0">
                  <c:v>-1.1448648979344167E-3</c:v>
                </c:pt>
                <c:pt idx="1">
                  <c:v>-1.4477350201733685E-3</c:v>
                </c:pt>
                <c:pt idx="2">
                  <c:v>-1.8209207040220665E-3</c:v>
                </c:pt>
                <c:pt idx="3">
                  <c:v>-2.2781599510495187E-3</c:v>
                </c:pt>
                <c:pt idx="4">
                  <c:v>-2.8352585607703817E-3</c:v>
                </c:pt>
                <c:pt idx="5">
                  <c:v>-3.5102691030635125E-3</c:v>
                </c:pt>
                <c:pt idx="6">
                  <c:v>-4.3236586770852847E-3</c:v>
                </c:pt>
                <c:pt idx="7">
                  <c:v>-5.2984590114226737E-3</c:v>
                </c:pt>
                <c:pt idx="8">
                  <c:v>-6.460391836511703E-3</c:v>
                </c:pt>
                <c:pt idx="9">
                  <c:v>-7.8379619808730538E-3</c:v>
                </c:pt>
                <c:pt idx="10">
                  <c:v>-9.4625103507200992E-3</c:v>
                </c:pt>
                <c:pt idx="11">
                  <c:v>-1.1368218889402426E-2</c:v>
                </c:pt>
                <c:pt idx="12">
                  <c:v>-1.3592059816387225E-2</c:v>
                </c:pt>
                <c:pt idx="13">
                  <c:v>-1.6173681945952589E-2</c:v>
                </c:pt>
                <c:pt idx="14">
                  <c:v>-1.9155227705452749E-2</c:v>
                </c:pt>
                <c:pt idx="15">
                  <c:v>-2.2581075622759572E-2</c:v>
                </c:pt>
                <c:pt idx="16">
                  <c:v>-2.6497504530034743E-2</c:v>
                </c:pt>
                <c:pt idx="17">
                  <c:v>-3.0952277519536442E-2</c:v>
                </c:pt>
                <c:pt idx="18">
                  <c:v>-3.5994145754580376E-2</c:v>
                </c:pt>
                <c:pt idx="19">
                  <c:v>-4.1672274537325249E-2</c:v>
                </c:pt>
                <c:pt idx="20">
                  <c:v>-4.8035596502274625E-2</c:v>
                </c:pt>
                <c:pt idx="21">
                  <c:v>-5.5132099364392673E-2</c:v>
                </c:pt>
                <c:pt idx="22">
                  <c:v>-6.3008058216672325E-2</c:v>
                </c:pt>
                <c:pt idx="23">
                  <c:v>-7.1707224849114071E-2</c:v>
                </c:pt>
                <c:pt idx="24">
                  <c:v>-8.1269988850421471E-2</c:v>
                </c:pt>
                <c:pt idx="25">
                  <c:v>-9.1732527256366492E-2</c:v>
                </c:pt>
                <c:pt idx="26">
                  <c:v>-0.10312596113045447</c:v>
                </c:pt>
                <c:pt idx="27">
                  <c:v>-0.11547553861798743</c:v>
                </c:pt>
                <c:pt idx="28">
                  <c:v>-0.12879986463224646</c:v>
                </c:pt>
                <c:pt idx="29">
                  <c:v>-0.14311019735721486</c:v>
                </c:pt>
                <c:pt idx="30">
                  <c:v>-0.1584098311516462</c:v>
                </c:pt>
                <c:pt idx="31">
                  <c:v>-0.17469358420433845</c:v>
                </c:pt>
                <c:pt idx="32">
                  <c:v>-0.19194740743479066</c:v>
                </c:pt>
                <c:pt idx="33">
                  <c:v>-0.21014812869653943</c:v>
                </c:pt>
                <c:pt idx="34">
                  <c:v>-0.22926334338598653</c:v>
                </c:pt>
                <c:pt idx="35">
                  <c:v>-0.24925145917292868</c:v>
                </c:pt>
                <c:pt idx="36">
                  <c:v>-0.2700618988546899</c:v>
                </c:pt>
                <c:pt idx="37">
                  <c:v>-0.2916354614127129</c:v>
                </c:pt>
                <c:pt idx="38">
                  <c:v>-0.31390483734766184</c:v>
                </c:pt>
                <c:pt idx="39">
                  <c:v>-0.33679527041999358</c:v>
                </c:pt>
                <c:pt idx="40">
                  <c:v>-0.36022535415997436</c:v>
                </c:pt>
                <c:pt idx="41">
                  <c:v>-0.3841079480603149</c:v>
                </c:pt>
                <c:pt idx="42">
                  <c:v>-0.40835119534007158</c:v>
                </c:pt>
                <c:pt idx="43">
                  <c:v>-0.43285962166820635</c:v>
                </c:pt>
                <c:pt idx="44">
                  <c:v>-0.45753529233686041</c:v>
                </c:pt>
                <c:pt idx="45">
                  <c:v>-0.48227900413284513</c:v>
                </c:pt>
                <c:pt idx="46">
                  <c:v>-0.50699148760076562</c:v>
                </c:pt>
                <c:pt idx="47">
                  <c:v>-0.53157459552743047</c:v>
                </c:pt>
                <c:pt idx="48">
                  <c:v>-0.55593245428392946</c:v>
                </c:pt>
                <c:pt idx="49">
                  <c:v>-0.57997255609559051</c:v>
                </c:pt>
                <c:pt idx="50">
                  <c:v>-0.603606772306023</c:v>
                </c:pt>
                <c:pt idx="51">
                  <c:v>-0.62675227017781787</c:v>
                </c:pt>
                <c:pt idx="52">
                  <c:v>-0.64933231863331087</c:v>
                </c:pt>
                <c:pt idx="53">
                  <c:v>-0.67127697147945731</c:v>
                </c:pt>
                <c:pt idx="54">
                  <c:v>-0.69252361997160938</c:v>
                </c:pt>
                <c:pt idx="55">
                  <c:v>-0.7130174099420088</c:v>
                </c:pt>
                <c:pt idx="56">
                  <c:v>-0.73271152204424972</c:v>
                </c:pt>
                <c:pt idx="57">
                  <c:v>-0.75156731684653422</c:v>
                </c:pt>
                <c:pt idx="58">
                  <c:v>-0.76955434945711931</c:v>
                </c:pt>
                <c:pt idx="59">
                  <c:v>-0.78665026101106328</c:v>
                </c:pt>
                <c:pt idx="60">
                  <c:v>-0.80284055662981335</c:v>
                </c:pt>
                <c:pt idx="61">
                  <c:v>-0.81811828134219144</c:v>
                </c:pt>
                <c:pt idx="62">
                  <c:v>-0.83248360690137191</c:v>
                </c:pt>
                <c:pt idx="63">
                  <c:v>-0.84594334343829258</c:v>
                </c:pt>
                <c:pt idx="64">
                  <c:v>-0.85851039046351674</c:v>
                </c:pt>
                <c:pt idx="65">
                  <c:v>-0.87020314188645242</c:v>
                </c:pt>
                <c:pt idx="66">
                  <c:v>-0.88104485949446298</c:v>
                </c:pt>
                <c:pt idx="67">
                  <c:v>-0.89106302876561749</c:v>
                </c:pt>
                <c:pt idx="68">
                  <c:v>-0.90028871002563537</c:v>
                </c:pt>
                <c:pt idx="69">
                  <c:v>-0.90875589685478109</c:v>
                </c:pt>
                <c:pt idx="70">
                  <c:v>-0.91650089235913978</c:v>
                </c:pt>
                <c:pt idx="71">
                  <c:v>-0.92356171249818031</c:v>
                </c:pt>
                <c:pt idx="72">
                  <c:v>-0.92997752416034796</c:v>
                </c:pt>
                <c:pt idx="73">
                  <c:v>-0.9357881241506778</c:v>
                </c:pt>
                <c:pt idx="74">
                  <c:v>-0.94103346374446784</c:v>
                </c:pt>
                <c:pt idx="75">
                  <c:v>-0.94575322200836109</c:v>
                </c:pt>
                <c:pt idx="76">
                  <c:v>-0.94998642972792169</c:v>
                </c:pt>
                <c:pt idx="77">
                  <c:v>-0.95377114453519329</c:v>
                </c:pt>
                <c:pt idx="78">
                  <c:v>-0.95714417672034591</c:v>
                </c:pt>
                <c:pt idx="79">
                  <c:v>-0.96014086425117418</c:v>
                </c:pt>
                <c:pt idx="80">
                  <c:v>-0.96279489471966806</c:v>
                </c:pt>
                <c:pt idx="81">
                  <c:v>-0.96513817128722945</c:v>
                </c:pt>
                <c:pt idx="82">
                  <c:v>-0.96720071920568573</c:v>
                </c:pt>
                <c:pt idx="83">
                  <c:v>-0.96901062914227265</c:v>
                </c:pt>
                <c:pt idx="84">
                  <c:v>-0.97059403332226035</c:v>
                </c:pt>
                <c:pt idx="85">
                  <c:v>-0.97197511040950846</c:v>
                </c:pt>
                <c:pt idx="86">
                  <c:v>-0.97317611505797241</c:v>
                </c:pt>
                <c:pt idx="87">
                  <c:v>-0.97421742817019907</c:v>
                </c:pt>
                <c:pt idx="88">
                  <c:v>-0.97511762407604063</c:v>
                </c:pt>
                <c:pt idx="89">
                  <c:v>-0.97589355108042242</c:v>
                </c:pt>
                <c:pt idx="90">
                  <c:v>-0.9765604221080062</c:v>
                </c:pt>
                <c:pt idx="91">
                  <c:v>-0.97713191248114373</c:v>
                </c:pt>
                <c:pt idx="92">
                  <c:v>-0.97762026219309972</c:v>
                </c:pt>
                <c:pt idx="93">
                  <c:v>-0.97803638037023</c:v>
                </c:pt>
                <c:pt idx="94">
                  <c:v>-0.97838994994529516</c:v>
                </c:pt>
                <c:pt idx="95">
                  <c:v>-0.97868953088173694</c:v>
                </c:pt>
                <c:pt idx="96">
                  <c:v>-0.97894266058947799</c:v>
                </c:pt>
                <c:pt idx="97">
                  <c:v>-0.97915595045209158</c:v>
                </c:pt>
                <c:pt idx="98">
                  <c:v>-0.97933517763986611</c:v>
                </c:pt>
                <c:pt idx="99">
                  <c:v>-0.97948537161144023</c:v>
                </c:pt>
                <c:pt idx="100">
                  <c:v>-0.97961089490746334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BA8-4448-B403-BC14DB23E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Gamma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Greeks_B76!$S$12:$S$112</c:f>
              <c:numCache>
                <c:formatCode>General</c:formatCode>
                <c:ptCount val="101"/>
                <c:pt idx="0">
                  <c:v>2.8827754920578707E-7</c:v>
                </c:pt>
                <c:pt idx="1">
                  <c:v>3.7355560737798847E-7</c:v>
                </c:pt>
                <c:pt idx="2">
                  <c:v>4.8125966096230867E-7</c:v>
                </c:pt>
                <c:pt idx="3">
                  <c:v>6.1645865659294815E-7</c:v>
                </c:pt>
                <c:pt idx="4">
                  <c:v>7.8514354840502776E-7</c:v>
                </c:pt>
                <c:pt idx="5">
                  <c:v>9.9433999641498175E-7</c:v>
                </c:pt>
                <c:pt idx="6">
                  <c:v>1.2522221863865766E-6</c:v>
                </c:pt>
                <c:pt idx="7">
                  <c:v>1.5682244912348184E-6</c:v>
                </c:pt>
                <c:pt idx="8">
                  <c:v>1.9531470096319363E-6</c:v>
                </c:pt>
                <c:pt idx="9">
                  <c:v>2.4192503428531146E-6</c:v>
                </c:pt>
                <c:pt idx="10">
                  <c:v>2.9803343391501927E-6</c:v>
                </c:pt>
                <c:pt idx="11">
                  <c:v>3.6517949838585251E-6</c:v>
                </c:pt>
                <c:pt idx="12">
                  <c:v>4.4506531843172147E-6</c:v>
                </c:pt>
                <c:pt idx="13">
                  <c:v>5.3955489347042995E-6</c:v>
                </c:pt>
                <c:pt idx="14">
                  <c:v>6.5066942901295852E-6</c:v>
                </c:pt>
                <c:pt idx="15">
                  <c:v>7.805778772379594E-6</c:v>
                </c:pt>
                <c:pt idx="16">
                  <c:v>9.3158213070609924E-6</c:v>
                </c:pt>
                <c:pt idx="17">
                  <c:v>1.1060963581165028E-5</c:v>
                </c:pt>
                <c:pt idx="18">
                  <c:v>1.3066200828301864E-5</c:v>
                </c:pt>
                <c:pt idx="19">
                  <c:v>1.535704749990816E-5</c:v>
                </c:pt>
                <c:pt idx="20">
                  <c:v>1.7959137053172195E-5</c:v>
                </c:pt>
                <c:pt idx="21">
                  <c:v>2.0897757151901923E-5</c:v>
                </c:pt>
                <c:pt idx="22">
                  <c:v>2.4197323888958485E-5</c:v>
                </c:pt>
                <c:pt idx="23">
                  <c:v>2.7880801134313894E-5</c:v>
                </c:pt>
                <c:pt idx="24">
                  <c:v>3.1969073710724324E-5</c:v>
                </c:pt>
                <c:pt idx="25">
                  <c:v>3.6480285704178228E-5</c:v>
                </c:pt>
                <c:pt idx="26">
                  <c:v>4.1429157722023944E-5</c:v>
                </c:pt>
                <c:pt idx="27">
                  <c:v>4.6826299203825902E-5</c:v>
                </c:pt>
                <c:pt idx="28">
                  <c:v>5.2677533851951724E-5</c:v>
                </c:pt>
                <c:pt idx="29">
                  <c:v>5.8983257767067586E-5</c:v>
                </c:pt>
                <c:pt idx="30">
                  <c:v>6.5737850843493057E-5</c:v>
                </c:pt>
                <c:pt idx="31">
                  <c:v>7.2929162310938323E-5</c:v>
                </c:pt>
                <c:pt idx="32">
                  <c:v>8.0538090933262853E-5</c:v>
                </c:pt>
                <c:pt idx="33">
                  <c:v>8.8538279247684111E-5</c:v>
                </c:pt>
                <c:pt idx="34">
                  <c:v>9.6895939335015979E-5</c:v>
                </c:pt>
                <c:pt idx="35">
                  <c:v>1.0556982497081142E-4</c:v>
                </c:pt>
                <c:pt idx="36">
                  <c:v>1.1451136167008928E-4</c:v>
                </c:pt>
                <c:pt idx="37">
                  <c:v>1.2366494218885667E-4</c:v>
                </c:pt>
                <c:pt idx="38">
                  <c:v>1.3296839059921228E-4</c:v>
                </c:pt>
                <c:pt idx="39">
                  <c:v>1.4235359325364576E-4</c:v>
                </c:pt>
                <c:pt idx="40">
                  <c:v>1.517472899623946E-4</c:v>
                </c:pt>
                <c:pt idx="41">
                  <c:v>1.6107201370445793E-4</c:v>
                </c:pt>
                <c:pt idx="42">
                  <c:v>1.7024716236474651E-4</c:v>
                </c:pt>
                <c:pt idx="43">
                  <c:v>1.7919018152273179E-4</c:v>
                </c:pt>
                <c:pt idx="44">
                  <c:v>1.8781783338831407E-4</c:v>
                </c:pt>
                <c:pt idx="45">
                  <c:v>1.9604752374780053E-4</c:v>
                </c:pt>
                <c:pt idx="46">
                  <c:v>2.0379865638108034E-4</c:v>
                </c:pt>
                <c:pt idx="47">
                  <c:v>2.1099398294349429E-4</c:v>
                </c:pt>
                <c:pt idx="48">
                  <c:v>2.1756091583944822E-4</c:v>
                </c:pt>
                <c:pt idx="49">
                  <c:v>2.2343277217719583E-4</c:v>
                </c:pt>
                <c:pt idx="50">
                  <c:v>2.2854991847230817E-4</c:v>
                </c:pt>
                <c:pt idx="51">
                  <c:v>2.3286078830804581E-4</c:v>
                </c:pt>
                <c:pt idx="52">
                  <c:v>2.3632274857343999E-4</c:v>
                </c:pt>
                <c:pt idx="53">
                  <c:v>2.3890279406016301E-4</c:v>
                </c:pt>
                <c:pt idx="54">
                  <c:v>2.4057805495555058E-4</c:v>
                </c:pt>
                <c:pt idx="55">
                  <c:v>2.413361069487613E-4</c:v>
                </c:pt>
                <c:pt idx="56">
                  <c:v>2.4117507908449353E-4</c:v>
                </c:pt>
                <c:pt idx="57">
                  <c:v>2.4010355996327689E-4</c:v>
                </c:pt>
                <c:pt idx="58">
                  <c:v>2.3814030821172092E-4</c:v>
                </c:pt>
                <c:pt idx="59">
                  <c:v>2.3531377815358371E-4</c:v>
                </c:pt>
                <c:pt idx="60">
                  <c:v>2.3166147614424383E-4</c:v>
                </c:pt>
                <c:pt idx="61">
                  <c:v>2.2722916695180301E-4</c:v>
                </c:pt>
                <c:pt idx="62">
                  <c:v>2.2206995277042604E-4</c:v>
                </c:pt>
                <c:pt idx="63">
                  <c:v>2.1624324985962081E-4</c:v>
                </c:pt>
                <c:pt idx="64">
                  <c:v>2.0981368937370256E-4</c:v>
                </c:pt>
                <c:pt idx="65">
                  <c:v>2.0284996966815185E-4</c:v>
                </c:pt>
                <c:pt idx="66">
                  <c:v>1.9542368726477942E-4</c:v>
                </c:pt>
                <c:pt idx="67">
                  <c:v>1.8760817277505576E-4</c:v>
                </c:pt>
                <c:pt idx="68">
                  <c:v>1.794773564950359E-4</c:v>
                </c:pt>
                <c:pt idx="69">
                  <c:v>1.7110468619079455E-4</c:v>
                </c:pt>
                <c:pt idx="70">
                  <c:v>1.6256211690016717E-4</c:v>
                </c:pt>
                <c:pt idx="71">
                  <c:v>1.5391918950473233E-4</c:v>
                </c:pt>
                <c:pt idx="72">
                  <c:v>1.4524221149974368E-4</c:v>
                </c:pt>
                <c:pt idx="73">
                  <c:v>1.3659354993275942E-4</c:v>
                </c:pt>
                <c:pt idx="74">
                  <c:v>1.2803104301242296E-4</c:v>
                </c:pt>
                <c:pt idx="75">
                  <c:v>1.1960753351612276E-4</c:v>
                </c:pt>
                <c:pt idx="76">
                  <c:v>1.1137052394535879E-4</c:v>
                </c:pt>
                <c:pt idx="77">
                  <c:v>1.0336195047163426E-4</c:v>
                </c:pt>
                <c:pt idx="78">
                  <c:v>9.5618070147846223E-5</c:v>
                </c:pt>
                <c:pt idx="79">
                  <c:v>8.8169453677145482E-5</c:v>
                </c:pt>
                <c:pt idx="80">
                  <c:v>8.1041074262235059E-5</c:v>
                </c:pt>
                <c:pt idx="81">
                  <c:v>7.425248171540794E-5</c:v>
                </c:pt>
                <c:pt idx="82">
                  <c:v>6.7818050090059806E-5</c:v>
                </c:pt>
                <c:pt idx="83">
                  <c:v>6.1747286581074196E-5</c:v>
                </c:pt>
                <c:pt idx="84">
                  <c:v>5.604518930587923E-5</c:v>
                </c:pt>
                <c:pt idx="85">
                  <c:v>5.0712641782393917E-5</c:v>
                </c:pt>
                <c:pt idx="86">
                  <c:v>4.5746832420031917E-5</c:v>
                </c:pt>
                <c:pt idx="87">
                  <c:v>4.114168808651131E-5</c:v>
                </c:pt>
                <c:pt idx="88">
                  <c:v>3.6888311755438241E-5</c:v>
                </c:pt>
                <c:pt idx="89">
                  <c:v>3.2975415326436717E-5</c:v>
                </c:pt>
                <c:pt idx="90">
                  <c:v>2.9389739891752896E-5</c:v>
                </c:pt>
                <c:pt idx="91">
                  <c:v>2.6116456954736991E-5</c:v>
                </c:pt>
                <c:pt idx="92">
                  <c:v>2.3139545344892955E-5</c:v>
                </c:pt>
                <c:pt idx="93">
                  <c:v>2.0442139785003331E-5</c:v>
                </c:pt>
                <c:pt idx="94">
                  <c:v>1.8006848217763975E-5</c:v>
                </c:pt>
                <c:pt idx="95">
                  <c:v>1.5816036068037096E-5</c:v>
                </c:pt>
                <c:pt idx="96">
                  <c:v>1.3852076583867563E-5</c:v>
                </c:pt>
                <c:pt idx="97">
                  <c:v>1.2097567252283079E-5</c:v>
                </c:pt>
                <c:pt idx="98">
                  <c:v>1.0535513017359381E-5</c:v>
                </c:pt>
                <c:pt idx="99">
                  <c:v>9.1494776356955925E-6</c:v>
                </c:pt>
                <c:pt idx="100">
                  <c:v>7.9237049900178493E-6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38-4ECF-AFAE-BEF3021AD35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Greeks_B76!$T$12:$T$112</c:f>
              <c:numCache>
                <c:formatCode>General</c:formatCode>
                <c:ptCount val="101"/>
                <c:pt idx="0">
                  <c:v>8.6916236075475243E-7</c:v>
                </c:pt>
                <c:pt idx="1">
                  <c:v>1.1016029764504858E-6</c:v>
                </c:pt>
                <c:pt idx="2">
                  <c:v>1.3882140062914497E-6</c:v>
                </c:pt>
                <c:pt idx="3">
                  <c:v>1.7394632222926654E-6</c:v>
                </c:pt>
                <c:pt idx="4">
                  <c:v>2.1673135980944759E-6</c:v>
                </c:pt>
                <c:pt idx="5">
                  <c:v>2.6853190924516419E-6</c:v>
                </c:pt>
                <c:pt idx="6">
                  <c:v>3.3087003868307743E-6</c:v>
                </c:pt>
                <c:pt idx="7">
                  <c:v>4.0543939305726937E-6</c:v>
                </c:pt>
                <c:pt idx="8">
                  <c:v>4.9410672401378747E-6</c:v>
                </c:pt>
                <c:pt idx="9">
                  <c:v>5.9890932001910244E-6</c:v>
                </c:pt>
                <c:pt idx="10">
                  <c:v>7.2204761721537383E-6</c:v>
                </c:pt>
                <c:pt idx="11">
                  <c:v>8.6587230746161591E-6</c:v>
                </c:pt>
                <c:pt idx="12">
                  <c:v>1.0328653296532021E-5</c:v>
                </c:pt>
                <c:pt idx="13">
                  <c:v>1.2256142364667976E-5</c:v>
                </c:pt>
                <c:pt idx="14">
                  <c:v>1.4467795723829219E-5</c:v>
                </c:pt>
                <c:pt idx="15">
                  <c:v>1.6990550797851049E-5</c:v>
                </c:pt>
                <c:pt idx="16">
                  <c:v>1.9851207658345001E-5</c:v>
                </c:pt>
                <c:pt idx="17">
                  <c:v>2.3075891093585644E-5</c:v>
                </c:pt>
                <c:pt idx="18">
                  <c:v>2.6689449577819351E-5</c:v>
                </c:pt>
                <c:pt idx="19">
                  <c:v>3.0714799507747873E-5</c:v>
                </c:pt>
                <c:pt idx="20">
                  <c:v>3.5172225995804544E-5</c:v>
                </c:pt>
                <c:pt idx="21">
                  <c:v>4.0078654371915579E-5</c:v>
                </c:pt>
                <c:pt idx="22">
                  <c:v>4.5446909218799539E-5</c:v>
                </c:pt>
                <c:pt idx="23">
                  <c:v>5.1284980117308472E-5</c:v>
                </c:pt>
                <c:pt idx="24">
                  <c:v>5.7595315175534509E-5</c:v>
                </c:pt>
                <c:pt idx="25">
                  <c:v>6.4374164733924016E-5</c:v>
                </c:pt>
                <c:pt idx="26">
                  <c:v>7.1610998268617862E-5</c:v>
                </c:pt>
                <c:pt idx="27">
                  <c:v>7.9288017368396018E-5</c:v>
                </c:pt>
                <c:pt idx="28">
                  <c:v>8.7379786676329037E-5</c:v>
                </c:pt>
                <c:pt idx="29">
                  <c:v>9.5853002837694535E-5</c:v>
                </c:pt>
                <c:pt idx="30">
                  <c:v>1.0466641878963863E-4</c:v>
                </c:pt>
                <c:pt idx="31">
                  <c:v>1.1377093721262882E-4</c:v>
                </c:pt>
                <c:pt idx="32">
                  <c:v>1.2310988272498796E-4</c:v>
                </c:pt>
                <c:pt idx="33">
                  <c:v>1.3261945756225179E-4</c:v>
                </c:pt>
                <c:pt idx="34">
                  <c:v>1.4222938019832533E-4</c:v>
                </c:pt>
                <c:pt idx="35">
                  <c:v>1.5186370081777417E-4</c:v>
                </c:pt>
                <c:pt idx="36">
                  <c:v>1.6144178194010239E-4</c:v>
                </c:pt>
                <c:pt idx="37">
                  <c:v>1.7087942704020311E-4</c:v>
                </c:pt>
                <c:pt idx="38">
                  <c:v>1.8009013491827416E-4</c:v>
                </c:pt>
                <c:pt idx="39">
                  <c:v>1.8898645305261933E-4</c:v>
                </c:pt>
                <c:pt idx="40">
                  <c:v>1.9748139940669126E-4</c:v>
                </c:pt>
                <c:pt idx="41">
                  <c:v>2.0548991931698286E-4</c:v>
                </c:pt>
                <c:pt idx="42">
                  <c:v>2.1293034228535412E-4</c:v>
                </c:pt>
                <c:pt idx="43">
                  <c:v>2.1972580282126564E-4</c:v>
                </c:pt>
                <c:pt idx="44">
                  <c:v>2.2580558996427872E-4</c:v>
                </c:pt>
                <c:pt idx="45">
                  <c:v>2.3110639175584003E-4</c:v>
                </c:pt>
                <c:pt idx="46">
                  <c:v>2.3557340366607484E-4</c:v>
                </c:pt>
                <c:pt idx="47">
                  <c:v>2.3916127371612908E-4</c:v>
                </c:pt>
                <c:pt idx="48">
                  <c:v>2.4183486163047304E-4</c:v>
                </c:pt>
                <c:pt idx="49">
                  <c:v>2.4356979463463458E-4</c:v>
                </c:pt>
                <c:pt idx="50">
                  <c:v>2.4435280828562082E-4</c:v>
                </c:pt>
                <c:pt idx="51">
                  <c:v>2.4418186677261419E-4</c:v>
                </c:pt>
                <c:pt idx="52">
                  <c:v>2.4306606323606282E-4</c:v>
                </c:pt>
                <c:pt idx="53">
                  <c:v>2.4102530660902134E-4</c:v>
                </c:pt>
                <c:pt idx="54">
                  <c:v>2.3808980708293087E-4</c:v>
                </c:pt>
                <c:pt idx="55">
                  <c:v>2.3429937735887699E-4</c:v>
                </c:pt>
                <c:pt idx="56">
                  <c:v>2.2970257121002969E-4</c:v>
                </c:pt>
                <c:pt idx="57">
                  <c:v>2.2435568442945864E-4</c:v>
                </c:pt>
                <c:pt idx="58">
                  <c:v>2.1832164588409837E-4</c:v>
                </c:pt>
                <c:pt idx="59">
                  <c:v>2.1166882809257409E-4</c:v>
                </c:pt>
                <c:pt idx="60">
                  <c:v>2.0446980748213344E-4</c:v>
                </c:pt>
                <c:pt idx="61">
                  <c:v>1.9680010428448338E-4</c:v>
                </c:pt>
                <c:pt idx="62">
                  <c:v>1.887369309612701E-4</c:v>
                </c:pt>
                <c:pt idx="63">
                  <c:v>1.8035797619511083E-4</c:v>
                </c:pt>
                <c:pt idx="64">
                  <c:v>1.7174024895230477E-4</c:v>
                </c:pt>
                <c:pt idx="65">
                  <c:v>1.6295900404644296E-4</c:v>
                </c:pt>
                <c:pt idx="66">
                  <c:v>1.5408676714649081E-4</c:v>
                </c:pt>
                <c:pt idx="67">
                  <c:v>1.4519247342130833E-4</c:v>
                </c:pt>
                <c:pt idx="68">
                  <c:v>1.3634073013606195E-4</c:v>
                </c:pt>
                <c:pt idx="69">
                  <c:v>1.2759120964864895E-4</c:v>
                </c:pt>
                <c:pt idx="70">
                  <c:v>1.1899817551846648E-4</c:v>
                </c:pt>
                <c:pt idx="71">
                  <c:v>1.1061014094264865E-4</c:v>
                </c:pt>
                <c:pt idx="72">
                  <c:v>1.0246965556520792E-4</c:v>
                </c:pt>
                <c:pt idx="73">
                  <c:v>9.4613213931526923E-5</c:v>
                </c:pt>
                <c:pt idx="74">
                  <c:v>8.7071276533101207E-5</c:v>
                </c:pt>
                <c:pt idx="75">
                  <c:v>7.9868392533794872E-5</c:v>
                </c:pt>
                <c:pt idx="76">
                  <c:v>7.3023411898467749E-5</c:v>
                </c:pt>
                <c:pt idx="77">
                  <c:v>6.6549773749459621E-5</c:v>
                </c:pt>
                <c:pt idx="78">
                  <c:v>6.0455857332650771E-5</c:v>
                </c:pt>
                <c:pt idx="79">
                  <c:v>5.4745381946561671E-5</c:v>
                </c:pt>
                <c:pt idx="80">
                  <c:v>4.9417842529283799E-5</c:v>
                </c:pt>
                <c:pt idx="81">
                  <c:v>4.446896825601788E-5</c:v>
                </c:pt>
                <c:pt idx="82">
                  <c:v>3.9891192417518979E-5</c:v>
                </c:pt>
                <c:pt idx="83">
                  <c:v>3.5674122968086544E-5</c:v>
                </c:pt>
                <c:pt idx="84">
                  <c:v>3.180500439293738E-5</c:v>
                </c:pt>
                <c:pt idx="85">
                  <c:v>2.826916289359528E-5</c:v>
                </c:pt>
                <c:pt idx="86">
                  <c:v>2.505042827547425E-5</c:v>
                </c:pt>
                <c:pt idx="87">
                  <c:v>2.2131527298806526E-5</c:v>
                </c:pt>
                <c:pt idx="88">
                  <c:v>1.949444458364145E-5</c:v>
                </c:pt>
                <c:pt idx="89">
                  <c:v>1.7120748409842666E-5</c:v>
                </c:pt>
                <c:pt idx="90">
                  <c:v>1.4991879898952046E-5</c:v>
                </c:pt>
                <c:pt idx="91">
                  <c:v>1.3089405088454801E-5</c:v>
                </c:pt>
                <c:pt idx="92">
                  <c:v>1.1395230298858741E-5</c:v>
                </c:pt>
                <c:pt idx="93">
                  <c:v>9.8917819445334364E-6</c:v>
                </c:pt>
                <c:pt idx="94">
                  <c:v>8.5621525500616674E-6</c:v>
                </c:pt>
                <c:pt idx="95">
                  <c:v>7.3902152090102631E-6</c:v>
                </c:pt>
                <c:pt idx="96">
                  <c:v>6.3607090691595443E-6</c:v>
                </c:pt>
                <c:pt idx="97">
                  <c:v>5.4592986577392422E-6</c:v>
                </c:pt>
                <c:pt idx="98">
                  <c:v>4.6726099844490543E-6</c:v>
                </c:pt>
                <c:pt idx="99">
                  <c:v>3.9882463925462108E-6</c:v>
                </c:pt>
                <c:pt idx="100">
                  <c:v>3.3947870831882496E-6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38-4ECF-AFAE-BEF3021AD35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Greeks_B76!$U$12:$U$112</c:f>
              <c:numCache>
                <c:formatCode>General</c:formatCode>
                <c:ptCount val="101"/>
                <c:pt idx="0">
                  <c:v>2.4084568444067144E-6</c:v>
                </c:pt>
                <c:pt idx="1">
                  <c:v>2.9848450942232759E-6</c:v>
                </c:pt>
                <c:pt idx="2">
                  <c:v>3.678235829296531E-6</c:v>
                </c:pt>
                <c:pt idx="3">
                  <c:v>4.5072578903243691E-6</c:v>
                </c:pt>
                <c:pt idx="4">
                  <c:v>5.4923767643833537E-6</c:v>
                </c:pt>
                <c:pt idx="5">
                  <c:v>6.6558437678703339E-6</c:v>
                </c:pt>
                <c:pt idx="6">
                  <c:v>8.0215890380121429E-6</c:v>
                </c:pt>
                <c:pt idx="7">
                  <c:v>9.615051093532051E-6</c:v>
                </c:pt>
                <c:pt idx="8">
                  <c:v>1.1462936698567962E-5</c:v>
                </c:pt>
                <c:pt idx="9">
                  <c:v>1.3592906159138014E-5</c:v>
                </c:pt>
                <c:pt idx="10">
                  <c:v>1.6033181003642959E-5</c:v>
                </c:pt>
                <c:pt idx="11">
                  <c:v>1.8812073232692234E-5</c:v>
                </c:pt>
                <c:pt idx="12">
                  <c:v>2.1957437930725876E-5</c:v>
                </c:pt>
                <c:pt idx="13">
                  <c:v>2.5496053950265104E-5</c:v>
                </c:pt>
                <c:pt idx="14">
                  <c:v>2.945294052307675E-5</c:v>
                </c:pt>
                <c:pt idx="15">
                  <c:v>3.3850620912711759E-5</c:v>
                </c:pt>
                <c:pt idx="16">
                  <c:v>3.8708347472136502E-5</c:v>
                </c:pt>
                <c:pt idx="17">
                  <c:v>4.4041305566104518E-5</c:v>
                </c:pt>
                <c:pt idx="18">
                  <c:v>4.9859816609305287E-5</c:v>
                </c:pt>
                <c:pt idx="19">
                  <c:v>5.6168562804951658E-5</c:v>
                </c:pt>
                <c:pt idx="20">
                  <c:v>6.2965857897159485E-5</c:v>
                </c:pt>
                <c:pt idx="21">
                  <c:v>7.0242989241035126E-5</c:v>
                </c:pt>
                <c:pt idx="22">
                  <c:v>7.7983656635907596E-5</c:v>
                </c:pt>
                <c:pt idx="23">
                  <c:v>8.616353257850309E-5</c:v>
                </c:pt>
                <c:pt idx="24">
                  <c:v>9.474996682918416E-5</c:v>
                </c:pt>
                <c:pt idx="25">
                  <c:v>1.0370185544205437E-4</c:v>
                </c:pt>
                <c:pt idx="26">
                  <c:v>1.1296969072951648E-4</c:v>
                </c:pt>
                <c:pt idx="27">
                  <c:v>1.2249580409955647E-4</c:v>
                </c:pt>
                <c:pt idx="28">
                  <c:v>1.3221480844906682E-4</c:v>
                </c:pt>
                <c:pt idx="29">
                  <c:v>1.4205424098794492E-4</c:v>
                </c:pt>
                <c:pt idx="30">
                  <c:v>1.5193540120880645E-4</c:v>
                </c:pt>
                <c:pt idx="31">
                  <c:v>1.617743724332392E-4</c:v>
                </c:pt>
                <c:pt idx="32">
                  <c:v>1.7148320919991046E-4</c:v>
                </c:pt>
                <c:pt idx="33">
                  <c:v>1.8097126695871453E-4</c:v>
                </c:pt>
                <c:pt idx="34">
                  <c:v>1.9014664533703024E-4</c:v>
                </c:pt>
                <c:pt idx="35">
                  <c:v>1.9891771186831346E-4</c:v>
                </c:pt>
                <c:pt idx="36">
                  <c:v>2.0719466970900893E-4</c:v>
                </c:pt>
                <c:pt idx="37">
                  <c:v>2.1489113066704995E-4</c:v>
                </c:pt>
                <c:pt idx="38">
                  <c:v>2.2192565392712294E-4</c:v>
                </c:pt>
                <c:pt idx="39">
                  <c:v>2.2822321123543211E-4</c:v>
                </c:pt>
                <c:pt idx="40">
                  <c:v>2.3371654099630062E-4</c:v>
                </c:pt>
                <c:pt idx="41">
                  <c:v>2.3834735667654713E-4</c:v>
                </c:pt>
                <c:pt idx="42">
                  <c:v>2.4206737900143145E-4</c:v>
                </c:pt>
                <c:pt idx="43">
                  <c:v>2.4483916650212942E-4</c:v>
                </c:pt>
                <c:pt idx="44">
                  <c:v>2.4663672484449037E-4</c:v>
                </c:pt>
                <c:pt idx="45">
                  <c:v>2.4744588180822361E-4</c:v>
                </c:pt>
                <c:pt idx="46">
                  <c:v>2.4726442155173484E-4</c:v>
                </c:pt>
                <c:pt idx="47">
                  <c:v>2.4610197864006691E-4</c:v>
                </c:pt>
                <c:pt idx="48">
                  <c:v>2.439796989847354E-4</c:v>
                </c:pt>
                <c:pt idx="49">
                  <c:v>2.4092968111189621E-4</c:v>
                </c:pt>
                <c:pt idx="50">
                  <c:v>2.3699421683021589E-4</c:v>
                </c:pt>
                <c:pt idx="51">
                  <c:v>2.3222485523487815E-4</c:v>
                </c:pt>
                <c:pt idx="52">
                  <c:v>2.2668131792032806E-4</c:v>
                </c:pt>
                <c:pt idx="53">
                  <c:v>2.204302961848062E-4</c:v>
                </c:pt>
                <c:pt idx="54">
                  <c:v>2.1354416284188613E-4</c:v>
                </c:pt>
                <c:pt idx="55">
                  <c:v>2.060996319995702E-4</c:v>
                </c:pt>
                <c:pt idx="56">
                  <c:v>1.9817639985932826E-4</c:v>
                </c:pt>
                <c:pt idx="57">
                  <c:v>1.8985579829707545E-4</c:v>
                </c:pt>
                <c:pt idx="58">
                  <c:v>1.8121949081919441E-4</c:v>
                </c:pt>
                <c:pt idx="59">
                  <c:v>1.723482375691594E-4</c:v>
                </c:pt>
                <c:pt idx="60">
                  <c:v>1.6332075254270713E-4</c:v>
                </c:pt>
                <c:pt idx="61">
                  <c:v>1.5421267221184471E-4</c:v>
                </c:pt>
                <c:pt idx="62">
                  <c:v>1.4509565052428646E-4</c:v>
                </c:pt>
                <c:pt idx="63">
                  <c:v>1.360365908961943E-4</c:v>
                </c:pt>
                <c:pt idx="64">
                  <c:v>1.2709702150423487E-4</c:v>
                </c:pt>
                <c:pt idx="65">
                  <c:v>1.183326160454352E-4</c:v>
                </c:pt>
                <c:pt idx="66">
                  <c:v>1.0979285828897056E-4</c:v>
                </c:pt>
                <c:pt idx="67">
                  <c:v>1.0152084529022242E-4</c:v>
                </c:pt>
                <c:pt idx="68">
                  <c:v>9.3553221148358988E-5</c:v>
                </c:pt>
                <c:pt idx="69">
                  <c:v>8.5920230714575066E-5</c:v>
                </c:pt>
                <c:pt idx="70">
                  <c:v>7.8645880726029301E-5</c:v>
                </c:pt>
                <c:pt idx="71">
                  <c:v>7.1748194455576659E-5</c:v>
                </c:pt>
                <c:pt idx="72">
                  <c:v>6.5239545115057412E-5</c:v>
                </c:pt>
                <c:pt idx="73">
                  <c:v>5.9127052898785102E-5</c:v>
                </c:pt>
                <c:pt idx="74">
                  <c:v>5.34130306587336E-5</c:v>
                </c:pt>
                <c:pt idx="75">
                  <c:v>4.8095463708199252E-5</c:v>
                </c:pt>
                <c:pt idx="76">
                  <c:v>4.3168510093679383E-5</c:v>
                </c:pt>
                <c:pt idx="77">
                  <c:v>3.8623008788903578E-5</c:v>
                </c:pt>
                <c:pt idx="78">
                  <c:v>3.4446984582938042E-5</c:v>
                </c:pt>
                <c:pt idx="79">
                  <c:v>3.0626139890466508E-5</c:v>
                </c:pt>
                <c:pt idx="80">
                  <c:v>2.7144325244961185E-5</c:v>
                </c:pt>
                <c:pt idx="81">
                  <c:v>2.3983981788523029E-5</c:v>
                </c:pt>
                <c:pt idx="82">
                  <c:v>2.1126550596522687E-5</c:v>
                </c:pt>
                <c:pt idx="83">
                  <c:v>1.8552845129522023E-5</c:v>
                </c:pt>
                <c:pt idx="84">
                  <c:v>1.6243384456052304E-5</c:v>
                </c:pt>
                <c:pt idx="85">
                  <c:v>1.4178686112631196E-5</c:v>
                </c:pt>
                <c:pt idx="86">
                  <c:v>1.2339518544702538E-5</c:v>
                </c:pt>
                <c:pt idx="87">
                  <c:v>1.0707113994037638E-5</c:v>
                </c:pt>
                <c:pt idx="88">
                  <c:v>9.2633434611244578E-6</c:v>
                </c:pt>
                <c:pt idx="89">
                  <c:v>7.9908559773937999E-6</c:v>
                </c:pt>
                <c:pt idx="90">
                  <c:v>6.8731848786351418E-6</c:v>
                </c:pt>
                <c:pt idx="91">
                  <c:v>5.8948240881717249E-6</c:v>
                </c:pt>
                <c:pt idx="92">
                  <c:v>5.0412776095147774E-6</c:v>
                </c:pt>
                <c:pt idx="93">
                  <c:v>4.2990855083317756E-6</c:v>
                </c:pt>
                <c:pt idx="94">
                  <c:v>3.6558296486488622E-6</c:v>
                </c:pt>
                <c:pt idx="95">
                  <c:v>3.1001223545308179E-6</c:v>
                </c:pt>
                <c:pt idx="96">
                  <c:v>2.621581011985341E-6</c:v>
                </c:pt>
                <c:pt idx="97">
                  <c:v>2.2107914216243266E-6</c:v>
                </c:pt>
                <c:pt idx="98">
                  <c:v>1.8592624746257273E-6</c:v>
                </c:pt>
                <c:pt idx="99">
                  <c:v>1.5593744652519335E-6</c:v>
                </c:pt>
                <c:pt idx="100">
                  <c:v>1.3043230834912939E-6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38-4ECF-AFAE-BEF3021A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vega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Greeks_B76!$V$12:$V$112</c:f>
              <c:numCache>
                <c:formatCode>General</c:formatCode>
                <c:ptCount val="101"/>
                <c:pt idx="0">
                  <c:v>18.913890003391693</c:v>
                </c:pt>
                <c:pt idx="1">
                  <c:v>24.508983400069823</c:v>
                </c:pt>
                <c:pt idx="2">
                  <c:v>31.575446355737071</c:v>
                </c:pt>
                <c:pt idx="3">
                  <c:v>40.445852459063332</c:v>
                </c:pt>
                <c:pt idx="4">
                  <c:v>51.51326821085388</c:v>
                </c:pt>
                <c:pt idx="5">
                  <c:v>65.238647164786968</c:v>
                </c:pt>
                <c:pt idx="6">
                  <c:v>82.158297648823279</c:v>
                </c:pt>
                <c:pt idx="7">
                  <c:v>102.89120886991644</c:v>
                </c:pt>
                <c:pt idx="8">
                  <c:v>128.14597530195132</c:v>
                </c:pt>
                <c:pt idx="9">
                  <c:v>158.72701499459285</c:v>
                </c:pt>
                <c:pt idx="10">
                  <c:v>195.53973599164414</c:v>
                </c:pt>
                <c:pt idx="11">
                  <c:v>239.59426889095784</c:v>
                </c:pt>
                <c:pt idx="12">
                  <c:v>292.0073554230525</c:v>
                </c:pt>
                <c:pt idx="13">
                  <c:v>354.00196560594907</c:v>
                </c:pt>
                <c:pt idx="14">
                  <c:v>426.90421237540204</c:v>
                </c:pt>
                <c:pt idx="15">
                  <c:v>512.1371452558252</c:v>
                </c:pt>
                <c:pt idx="16">
                  <c:v>611.21103595627164</c:v>
                </c:pt>
                <c:pt idx="17">
                  <c:v>725.70982056023752</c:v>
                </c:pt>
                <c:pt idx="18">
                  <c:v>857.27343634488545</c:v>
                </c:pt>
                <c:pt idx="19">
                  <c:v>1007.5758864689745</c:v>
                </c:pt>
                <c:pt idx="20">
                  <c:v>1178.2989820586276</c:v>
                </c:pt>
                <c:pt idx="21">
                  <c:v>1371.1018467362851</c:v>
                </c:pt>
                <c:pt idx="22">
                  <c:v>1587.5864203545661</c:v>
                </c:pt>
                <c:pt idx="23">
                  <c:v>1829.2593624223348</c:v>
                </c:pt>
                <c:pt idx="24">
                  <c:v>2097.4909261606231</c:v>
                </c:pt>
                <c:pt idx="25">
                  <c:v>2393.4715450511335</c:v>
                </c:pt>
                <c:pt idx="26">
                  <c:v>2718.1670381419913</c:v>
                </c:pt>
                <c:pt idx="27">
                  <c:v>3072.2734907630174</c:v>
                </c:pt>
                <c:pt idx="28">
                  <c:v>3456.1729960265529</c:v>
                </c:pt>
                <c:pt idx="29">
                  <c:v>3869.8915420973044</c:v>
                </c:pt>
                <c:pt idx="30">
                  <c:v>4313.0603938415798</c:v>
                </c:pt>
                <c:pt idx="31">
                  <c:v>4784.8823392206632</c:v>
                </c:pt>
                <c:pt idx="32">
                  <c:v>5284.1041461313753</c:v>
                </c:pt>
                <c:pt idx="33">
                  <c:v>5808.9965014405543</c:v>
                </c:pt>
                <c:pt idx="34">
                  <c:v>6357.3425797703985</c:v>
                </c:pt>
                <c:pt idx="35">
                  <c:v>6926.4362163349379</c:v>
                </c:pt>
                <c:pt idx="36">
                  <c:v>7513.090439174558</c:v>
                </c:pt>
                <c:pt idx="37">
                  <c:v>8113.6568570108857</c:v>
                </c:pt>
                <c:pt idx="38">
                  <c:v>8724.0561072143173</c:v>
                </c:pt>
                <c:pt idx="39">
                  <c:v>9339.8192533716992</c:v>
                </c:pt>
                <c:pt idx="40">
                  <c:v>9956.1396944327098</c:v>
                </c:pt>
                <c:pt idx="41">
                  <c:v>10567.934819149485</c:v>
                </c:pt>
                <c:pt idx="42">
                  <c:v>11169.916322751018</c:v>
                </c:pt>
                <c:pt idx="43">
                  <c:v>11756.667809706432</c:v>
                </c:pt>
                <c:pt idx="44">
                  <c:v>12322.728048607287</c:v>
                </c:pt>
                <c:pt idx="45">
                  <c:v>12862.678033093192</c:v>
                </c:pt>
                <c:pt idx="46">
                  <c:v>13371.229845162681</c:v>
                </c:pt>
                <c:pt idx="47">
                  <c:v>13843.315220922659</c:v>
                </c:pt>
                <c:pt idx="48">
                  <c:v>14274.171688226197</c:v>
                </c:pt>
                <c:pt idx="49">
                  <c:v>14659.424182545816</c:v>
                </c:pt>
                <c:pt idx="50">
                  <c:v>14995.160150968139</c:v>
                </c:pt>
                <c:pt idx="51">
                  <c:v>15277.996320890887</c:v>
                </c:pt>
                <c:pt idx="52">
                  <c:v>15505.135533903396</c:v>
                </c:pt>
                <c:pt idx="53">
                  <c:v>15674.412318287295</c:v>
                </c:pt>
                <c:pt idx="54">
                  <c:v>15784.326185633672</c:v>
                </c:pt>
                <c:pt idx="55">
                  <c:v>15834.06197690823</c:v>
                </c:pt>
                <c:pt idx="56">
                  <c:v>15823.496938733622</c:v>
                </c:pt>
                <c:pt idx="57">
                  <c:v>15753.194569190597</c:v>
                </c:pt>
                <c:pt idx="58">
                  <c:v>15624.385621771009</c:v>
                </c:pt>
                <c:pt idx="59">
                  <c:v>15438.936984656628</c:v>
                </c:pt>
                <c:pt idx="60">
                  <c:v>15199.309449823839</c:v>
                </c:pt>
                <c:pt idx="61">
                  <c:v>14908.505643707795</c:v>
                </c:pt>
                <c:pt idx="62">
                  <c:v>14570.009601267653</c:v>
                </c:pt>
                <c:pt idx="63">
                  <c:v>14187.719623289722</c:v>
                </c:pt>
                <c:pt idx="64">
                  <c:v>13765.876159808626</c:v>
                </c:pt>
                <c:pt idx="65">
                  <c:v>13308.986509927445</c:v>
                </c:pt>
                <c:pt idx="66">
                  <c:v>12821.748121442179</c:v>
                </c:pt>
                <c:pt idx="67">
                  <c:v>12308.972215771408</c:v>
                </c:pt>
                <c:pt idx="68">
                  <c:v>11775.509359639305</c:v>
                </c:pt>
                <c:pt idx="69">
                  <c:v>11226.178460978032</c:v>
                </c:pt>
                <c:pt idx="70">
                  <c:v>10665.700489819968</c:v>
                </c:pt>
                <c:pt idx="71">
                  <c:v>10098.638023405487</c:v>
                </c:pt>
                <c:pt idx="72">
                  <c:v>9529.3414964981821</c:v>
                </c:pt>
                <c:pt idx="73">
                  <c:v>8961.9028110883446</c:v>
                </c:pt>
                <c:pt idx="74">
                  <c:v>8400.1167320450695</c:v>
                </c:pt>
                <c:pt idx="75">
                  <c:v>7847.4502739928139</c:v>
                </c:pt>
                <c:pt idx="76">
                  <c:v>7307.0200760549906</c:v>
                </c:pt>
                <c:pt idx="77">
                  <c:v>6781.5775704439238</c:v>
                </c:pt>
                <c:pt idx="78">
                  <c:v>6273.5015824001912</c:v>
                </c:pt>
                <c:pt idx="79">
                  <c:v>5784.7978557575161</c:v>
                </c:pt>
                <c:pt idx="80">
                  <c:v>5317.1048823452429</c:v>
                </c:pt>
                <c:pt idx="81">
                  <c:v>4871.7053253479162</c:v>
                </c:pt>
                <c:pt idx="82">
                  <c:v>4449.5422664088246</c:v>
                </c:pt>
                <c:pt idx="83">
                  <c:v>4051.2394725842787</c:v>
                </c:pt>
                <c:pt idx="84">
                  <c:v>3677.1248703587366</c:v>
                </c:pt>
                <c:pt idx="85">
                  <c:v>3327.2564273428652</c:v>
                </c:pt>
                <c:pt idx="86">
                  <c:v>3001.4496750782941</c:v>
                </c:pt>
                <c:pt idx="87">
                  <c:v>2699.3061553560069</c:v>
                </c:pt>
                <c:pt idx="88">
                  <c:v>2420.2421342743028</c:v>
                </c:pt>
                <c:pt idx="89">
                  <c:v>2163.5169995675133</c:v>
                </c:pt>
                <c:pt idx="90">
                  <c:v>1928.2608342979076</c:v>
                </c:pt>
                <c:pt idx="91">
                  <c:v>1713.5007408002939</c:v>
                </c:pt>
                <c:pt idx="92">
                  <c:v>1518.1855700784267</c:v>
                </c:pt>
                <c:pt idx="93">
                  <c:v>1341.2087912940683</c:v>
                </c:pt>
                <c:pt idx="94">
                  <c:v>1181.4293115674946</c:v>
                </c:pt>
                <c:pt idx="95">
                  <c:v>1037.6901264239139</c:v>
                </c:pt>
                <c:pt idx="96">
                  <c:v>908.83474466755081</c:v>
                </c:pt>
                <c:pt idx="97">
                  <c:v>793.72138742229288</c:v>
                </c:pt>
                <c:pt idx="98">
                  <c:v>691.23500906894913</c:v>
                </c:pt>
                <c:pt idx="99">
                  <c:v>600.29722767798785</c:v>
                </c:pt>
                <c:pt idx="100">
                  <c:v>519.87428439507107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94-47E6-808B-E79AA0C2571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Greeks_B76!$W$12:$W$112</c:f>
              <c:numCache>
                <c:formatCode>General</c:formatCode>
                <c:ptCount val="101"/>
                <c:pt idx="0">
                  <c:v>55.626391088304153</c:v>
                </c:pt>
                <c:pt idx="1">
                  <c:v>70.502590492831075</c:v>
                </c:pt>
                <c:pt idx="2">
                  <c:v>88.845696402652777</c:v>
                </c:pt>
                <c:pt idx="3">
                  <c:v>111.32564622673058</c:v>
                </c:pt>
                <c:pt idx="4">
                  <c:v>138.70807027804645</c:v>
                </c:pt>
                <c:pt idx="5">
                  <c:v>171.86042191690507</c:v>
                </c:pt>
                <c:pt idx="6">
                  <c:v>211.75682475716954</c:v>
                </c:pt>
                <c:pt idx="7">
                  <c:v>259.4812115566524</c:v>
                </c:pt>
                <c:pt idx="8">
                  <c:v>316.22830336882396</c:v>
                </c:pt>
                <c:pt idx="9">
                  <c:v>383.30196481222549</c:v>
                </c:pt>
                <c:pt idx="10">
                  <c:v>462.11047501783924</c:v>
                </c:pt>
                <c:pt idx="11">
                  <c:v>554.15827677543427</c:v>
                </c:pt>
                <c:pt idx="12">
                  <c:v>661.03381097804936</c:v>
                </c:pt>
                <c:pt idx="13">
                  <c:v>784.39311133875049</c:v>
                </c:pt>
                <c:pt idx="14">
                  <c:v>925.93892632506993</c:v>
                </c:pt>
                <c:pt idx="15">
                  <c:v>1087.3952510624672</c:v>
                </c:pt>
                <c:pt idx="16">
                  <c:v>1270.4772901340802</c:v>
                </c:pt>
                <c:pt idx="17">
                  <c:v>1476.8570299894811</c:v>
                </c:pt>
                <c:pt idx="18">
                  <c:v>1708.1247729804384</c:v>
                </c:pt>
                <c:pt idx="19">
                  <c:v>1965.7471684958637</c:v>
                </c:pt>
                <c:pt idx="20">
                  <c:v>2251.0224637314909</c:v>
                </c:pt>
                <c:pt idx="21">
                  <c:v>2565.0338798025969</c:v>
                </c:pt>
                <c:pt idx="22">
                  <c:v>2908.602190003171</c:v>
                </c:pt>
                <c:pt idx="23">
                  <c:v>3282.2387275077422</c:v>
                </c:pt>
                <c:pt idx="24">
                  <c:v>3686.1001712342086</c:v>
                </c:pt>
                <c:pt idx="25">
                  <c:v>4119.9465429711363</c:v>
                </c:pt>
                <c:pt idx="26">
                  <c:v>4583.1038891915441</c:v>
                </c:pt>
                <c:pt idx="27">
                  <c:v>5074.4331115773439</c:v>
                </c:pt>
                <c:pt idx="28">
                  <c:v>5592.306347285059</c:v>
                </c:pt>
                <c:pt idx="29">
                  <c:v>6134.5921816124501</c:v>
                </c:pt>
                <c:pt idx="30">
                  <c:v>6698.6508025368721</c:v>
                </c:pt>
                <c:pt idx="31">
                  <c:v>7281.3399816082456</c:v>
                </c:pt>
                <c:pt idx="32">
                  <c:v>7879.0324943992291</c:v>
                </c:pt>
                <c:pt idx="33">
                  <c:v>8487.6452839841149</c:v>
                </c:pt>
                <c:pt idx="34">
                  <c:v>9102.6803326928202</c:v>
                </c:pt>
                <c:pt idx="35">
                  <c:v>9719.2768523375471</c:v>
                </c:pt>
                <c:pt idx="36">
                  <c:v>10332.274044166554</c:v>
                </c:pt>
                <c:pt idx="37">
                  <c:v>10936.283330573</c:v>
                </c:pt>
                <c:pt idx="38">
                  <c:v>11525.768634769545</c:v>
                </c:pt>
                <c:pt idx="39">
                  <c:v>12095.13299536764</c:v>
                </c:pt>
                <c:pt idx="40">
                  <c:v>12638.80956202824</c:v>
                </c:pt>
                <c:pt idx="41">
                  <c:v>13151.354836286902</c:v>
                </c:pt>
                <c:pt idx="42">
                  <c:v>13627.541906262662</c:v>
                </c:pt>
                <c:pt idx="43">
                  <c:v>14062.451380561</c:v>
                </c:pt>
                <c:pt idx="44">
                  <c:v>14451.557757713837</c:v>
                </c:pt>
                <c:pt idx="45">
                  <c:v>14790.809072373761</c:v>
                </c:pt>
                <c:pt idx="46">
                  <c:v>15076.697834628789</c:v>
                </c:pt>
                <c:pt idx="47">
                  <c:v>15306.321517832263</c:v>
                </c:pt>
                <c:pt idx="48">
                  <c:v>15477.431144350274</c:v>
                </c:pt>
                <c:pt idx="49">
                  <c:v>15588.466856616613</c:v>
                </c:pt>
                <c:pt idx="50">
                  <c:v>15638.579730279731</c:v>
                </c:pt>
                <c:pt idx="51">
                  <c:v>15627.639473447307</c:v>
                </c:pt>
                <c:pt idx="52">
                  <c:v>15556.228047108021</c:v>
                </c:pt>
                <c:pt idx="53">
                  <c:v>15425.619622977365</c:v>
                </c:pt>
                <c:pt idx="54">
                  <c:v>15237.747653307577</c:v>
                </c:pt>
                <c:pt idx="55">
                  <c:v>14995.160150968128</c:v>
                </c:pt>
                <c:pt idx="56">
                  <c:v>14700.964557441901</c:v>
                </c:pt>
                <c:pt idx="57">
                  <c:v>14358.763803485352</c:v>
                </c:pt>
                <c:pt idx="58">
                  <c:v>13972.585336582295</c:v>
                </c:pt>
                <c:pt idx="59">
                  <c:v>13546.804997924741</c:v>
                </c:pt>
                <c:pt idx="60">
                  <c:v>13086.06767885654</c:v>
                </c:pt>
                <c:pt idx="61">
                  <c:v>12595.206674206935</c:v>
                </c:pt>
                <c:pt idx="62">
                  <c:v>12079.163581521287</c:v>
                </c:pt>
                <c:pt idx="63">
                  <c:v>11542.910476487092</c:v>
                </c:pt>
                <c:pt idx="64">
                  <c:v>10991.375932947505</c:v>
                </c:pt>
                <c:pt idx="65">
                  <c:v>10429.376258972348</c:v>
                </c:pt>
                <c:pt idx="66">
                  <c:v>9861.5530973754103</c:v>
                </c:pt>
                <c:pt idx="67">
                  <c:v>9292.3182989637316</c:v>
                </c:pt>
                <c:pt idx="68">
                  <c:v>8725.8067287079666</c:v>
                </c:pt>
                <c:pt idx="69">
                  <c:v>8165.8374175135323</c:v>
                </c:pt>
                <c:pt idx="70">
                  <c:v>7615.8832331818539</c:v>
                </c:pt>
                <c:pt idx="71">
                  <c:v>7079.049020329514</c:v>
                </c:pt>
                <c:pt idx="72">
                  <c:v>6558.0579561733075</c:v>
                </c:pt>
                <c:pt idx="73">
                  <c:v>6055.2456916177234</c:v>
                </c:pt>
                <c:pt idx="74">
                  <c:v>5572.5616981184767</c:v>
                </c:pt>
                <c:pt idx="75">
                  <c:v>5111.577122162872</c:v>
                </c:pt>
                <c:pt idx="76">
                  <c:v>4673.4983615019364</c:v>
                </c:pt>
                <c:pt idx="77">
                  <c:v>4259.1855199654165</c:v>
                </c:pt>
                <c:pt idx="78">
                  <c:v>3869.174869289649</c:v>
                </c:pt>
                <c:pt idx="79">
                  <c:v>3503.704444579947</c:v>
                </c:pt>
                <c:pt idx="80">
                  <c:v>3162.7419218741634</c:v>
                </c:pt>
                <c:pt idx="81">
                  <c:v>2846.0139683851444</c:v>
                </c:pt>
                <c:pt idx="82">
                  <c:v>2553.0363147212151</c:v>
                </c:pt>
                <c:pt idx="83">
                  <c:v>2283.1438699575383</c:v>
                </c:pt>
                <c:pt idx="84">
                  <c:v>2035.5202811479921</c:v>
                </c:pt>
                <c:pt idx="85">
                  <c:v>1809.2264251900981</c:v>
                </c:pt>
                <c:pt idx="86">
                  <c:v>1603.227409630352</c:v>
                </c:pt>
                <c:pt idx="87">
                  <c:v>1416.4177471236178</c:v>
                </c:pt>
                <c:pt idx="88">
                  <c:v>1247.6444533530528</c:v>
                </c:pt>
                <c:pt idx="89">
                  <c:v>1095.7278982299306</c:v>
                </c:pt>
                <c:pt idx="90">
                  <c:v>959.48031353293095</c:v>
                </c:pt>
                <c:pt idx="91">
                  <c:v>837.72192566110721</c:v>
                </c:pt>
                <c:pt idx="92">
                  <c:v>729.29473912695937</c:v>
                </c:pt>
                <c:pt idx="93">
                  <c:v>633.07404445013992</c:v>
                </c:pt>
                <c:pt idx="94">
                  <c:v>547.97776320394678</c:v>
                </c:pt>
                <c:pt idx="95">
                  <c:v>472.97377337665682</c:v>
                </c:pt>
                <c:pt idx="96">
                  <c:v>407.0853804262108</c:v>
                </c:pt>
                <c:pt idx="97">
                  <c:v>349.3951140953115</c:v>
                </c:pt>
                <c:pt idx="98">
                  <c:v>299.04703900473947</c:v>
                </c:pt>
                <c:pt idx="99">
                  <c:v>255.24776912295752</c:v>
                </c:pt>
                <c:pt idx="100">
                  <c:v>217.26637332404798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94-47E6-808B-E79AA0C2571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Greeks_B76!$X$12:$X$112</c:f>
              <c:numCache>
                <c:formatCode>General</c:formatCode>
                <c:ptCount val="101"/>
                <c:pt idx="0">
                  <c:v>150.31179165942302</c:v>
                </c:pt>
                <c:pt idx="1">
                  <c:v>186.28418233047464</c:v>
                </c:pt>
                <c:pt idx="2">
                  <c:v>229.55869810639652</c:v>
                </c:pt>
                <c:pt idx="3">
                  <c:v>281.29796493514391</c:v>
                </c:pt>
                <c:pt idx="4">
                  <c:v>342.77923386516511</c:v>
                </c:pt>
                <c:pt idx="5">
                  <c:v>415.39120955278753</c:v>
                </c:pt>
                <c:pt idx="6">
                  <c:v>500.62737186233778</c:v>
                </c:pt>
                <c:pt idx="7">
                  <c:v>600.07533874733531</c:v>
                </c:pt>
                <c:pt idx="8">
                  <c:v>715.40187935762651</c:v>
                </c:pt>
                <c:pt idx="9">
                  <c:v>848.33327339180335</c:v>
                </c:pt>
                <c:pt idx="10">
                  <c:v>1000.630826437357</c:v>
                </c:pt>
                <c:pt idx="11">
                  <c:v>1174.0614904523222</c:v>
                </c:pt>
                <c:pt idx="12">
                  <c:v>1370.3637012566019</c:v>
                </c:pt>
                <c:pt idx="13">
                  <c:v>1591.2087270360453</c:v>
                </c:pt>
                <c:pt idx="14">
                  <c:v>1838.1580180452199</c:v>
                </c:pt>
                <c:pt idx="15">
                  <c:v>2112.6172511623408</c:v>
                </c:pt>
                <c:pt idx="16">
                  <c:v>2415.787965736039</c:v>
                </c:pt>
                <c:pt idx="17">
                  <c:v>2748.6178803805833</c:v>
                </c:pt>
                <c:pt idx="18">
                  <c:v>3111.7511545867428</c:v>
                </c:pt>
                <c:pt idx="19">
                  <c:v>3505.4800046570326</c:v>
                </c:pt>
                <c:pt idx="20">
                  <c:v>3929.6991913617235</c:v>
                </c:pt>
                <c:pt idx="21">
                  <c:v>4383.8649585330022</c:v>
                </c:pt>
                <c:pt idx="22">
                  <c:v>4866.9600106469925</c:v>
                </c:pt>
                <c:pt idx="23">
                  <c:v>5377.4660682243766</c:v>
                </c:pt>
                <c:pt idx="24">
                  <c:v>5913.3454298093839</c:v>
                </c:pt>
                <c:pt idx="25">
                  <c:v>6472.0327981386126</c:v>
                </c:pt>
                <c:pt idx="26">
                  <c:v>7050.4383984291235</c:v>
                </c:pt>
                <c:pt idx="27">
                  <c:v>7644.9631338533191</c:v>
                </c:pt>
                <c:pt idx="28">
                  <c:v>8251.52619530626</c:v>
                </c:pt>
                <c:pt idx="29">
                  <c:v>8865.6051800576442</c:v>
                </c:pt>
                <c:pt idx="30">
                  <c:v>9482.28838944161</c:v>
                </c:pt>
                <c:pt idx="31">
                  <c:v>10096.338583558456</c:v>
                </c:pt>
                <c:pt idx="32">
                  <c:v>10702.26708616641</c:v>
                </c:pt>
                <c:pt idx="33">
                  <c:v>11294.416770893375</c:v>
                </c:pt>
                <c:pt idx="34">
                  <c:v>11867.052135484055</c:v>
                </c:pt>
                <c:pt idx="35">
                  <c:v>12414.454397701444</c:v>
                </c:pt>
                <c:pt idx="36">
                  <c:v>12931.019336539248</c:v>
                </c:pt>
                <c:pt idx="37">
                  <c:v>13411.355464930588</c:v>
                </c:pt>
                <c:pt idx="38">
                  <c:v>13850.380061591743</c:v>
                </c:pt>
                <c:pt idx="39">
                  <c:v>14243.410613203319</c:v>
                </c:pt>
                <c:pt idx="40">
                  <c:v>14586.249323579121</c:v>
                </c:pt>
                <c:pt idx="41">
                  <c:v>14875.258530183306</c:v>
                </c:pt>
                <c:pt idx="42">
                  <c:v>15107.425123479336</c:v>
                </c:pt>
                <c:pt idx="43">
                  <c:v>15280.412381397897</c:v>
                </c:pt>
                <c:pt idx="44">
                  <c:v>15392.597997544643</c:v>
                </c:pt>
                <c:pt idx="45">
                  <c:v>15443.097483651236</c:v>
                </c:pt>
                <c:pt idx="46">
                  <c:v>15431.77254904377</c:v>
                </c:pt>
                <c:pt idx="47">
                  <c:v>15359.224486926578</c:v>
                </c:pt>
                <c:pt idx="48">
                  <c:v>15226.773013637336</c:v>
                </c:pt>
                <c:pt idx="49">
                  <c:v>15036.421398193443</c:v>
                </c:pt>
                <c:pt idx="50">
                  <c:v>14790.809072373773</c:v>
                </c:pt>
                <c:pt idx="51">
                  <c:v>14493.153215208744</c:v>
                </c:pt>
                <c:pt idx="52">
                  <c:v>14147.181051407673</c:v>
                </c:pt>
                <c:pt idx="53">
                  <c:v>13757.054784893755</c:v>
                </c:pt>
                <c:pt idx="54">
                  <c:v>13327.291202962113</c:v>
                </c:pt>
                <c:pt idx="55">
                  <c:v>12862.678033093176</c:v>
                </c:pt>
                <c:pt idx="56">
                  <c:v>12368.189115220677</c:v>
                </c:pt>
                <c:pt idx="57">
                  <c:v>11848.900371720478</c:v>
                </c:pt>
                <c:pt idx="58">
                  <c:v>11309.908422025923</c:v>
                </c:pt>
                <c:pt idx="59">
                  <c:v>10756.253506691239</c:v>
                </c:pt>
                <c:pt idx="60">
                  <c:v>10192.848166190353</c:v>
                </c:pt>
                <c:pt idx="61">
                  <c:v>9624.4128727412281</c:v>
                </c:pt>
                <c:pt idx="62">
                  <c:v>9055.4195492207182</c:v>
                </c:pt>
                <c:pt idx="63">
                  <c:v>8490.0436378314862</c:v>
                </c:pt>
                <c:pt idx="64">
                  <c:v>7932.1251120792967</c:v>
                </c:pt>
                <c:pt idx="65">
                  <c:v>7385.1385673956111</c:v>
                </c:pt>
                <c:pt idx="66">
                  <c:v>6852.1722858146522</c:v>
                </c:pt>
                <c:pt idx="67">
                  <c:v>6335.9159545627808</c:v>
                </c:pt>
                <c:pt idx="68">
                  <c:v>5838.6565318690846</c:v>
                </c:pt>
                <c:pt idx="69">
                  <c:v>5362.2815988966295</c:v>
                </c:pt>
                <c:pt idx="70">
                  <c:v>4908.2894161114882</c:v>
                </c:pt>
                <c:pt idx="71">
                  <c:v>4477.8048159725395</c:v>
                </c:pt>
                <c:pt idx="72">
                  <c:v>4071.6000106307329</c:v>
                </c:pt>
                <c:pt idx="73">
                  <c:v>3690.1193714131782</c:v>
                </c:pt>
                <c:pt idx="74">
                  <c:v>3333.5072434115636</c:v>
                </c:pt>
                <c:pt idx="75">
                  <c:v>3001.637890028715</c:v>
                </c:pt>
                <c:pt idx="76">
                  <c:v>2694.1467149465307</c:v>
                </c:pt>
                <c:pt idx="77">
                  <c:v>2410.4619785154723</c:v>
                </c:pt>
                <c:pt idx="78">
                  <c:v>2149.8363078211632</c:v>
                </c:pt>
                <c:pt idx="79">
                  <c:v>1911.3773905640146</c:v>
                </c:pt>
                <c:pt idx="80">
                  <c:v>1694.0773385380276</c:v>
                </c:pt>
                <c:pt idx="81">
                  <c:v>1496.8403034217222</c:v>
                </c:pt>
                <c:pt idx="82">
                  <c:v>1318.5080227289807</c:v>
                </c:pt>
                <c:pt idx="83">
                  <c:v>1157.8830645334697</c:v>
                </c:pt>
                <c:pt idx="84">
                  <c:v>1013.7496239022242</c:v>
                </c:pt>
                <c:pt idx="85">
                  <c:v>884.89180028931298</c:v>
                </c:pt>
                <c:pt idx="86">
                  <c:v>770.10935237488548</c:v>
                </c:pt>
                <c:pt idx="87">
                  <c:v>668.23098436788905</c:v>
                </c:pt>
                <c:pt idx="88">
                  <c:v>578.12526540877752</c:v>
                </c:pt>
                <c:pt idx="89">
                  <c:v>498.70932154914703</c:v>
                </c:pt>
                <c:pt idx="90">
                  <c:v>428.95546827561918</c:v>
                </c:pt>
                <c:pt idx="91">
                  <c:v>367.89597134279734</c:v>
                </c:pt>
                <c:pt idx="92">
                  <c:v>314.6261356098172</c:v>
                </c:pt>
                <c:pt idx="93">
                  <c:v>268.30592657498613</c:v>
                </c:pt>
                <c:pt idx="94">
                  <c:v>228.16032837217548</c:v>
                </c:pt>
                <c:pt idx="95">
                  <c:v>193.47863614626837</c:v>
                </c:pt>
                <c:pt idx="96">
                  <c:v>163.61287095800512</c:v>
                </c:pt>
                <c:pt idx="97">
                  <c:v>137.97549262357421</c:v>
                </c:pt>
                <c:pt idx="98">
                  <c:v>116.03657104139164</c:v>
                </c:pt>
                <c:pt idx="99">
                  <c:v>97.320560376373166</c:v>
                </c:pt>
                <c:pt idx="100">
                  <c:v>81.402803640691658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94-47E6-808B-E79AA0C25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Theta Call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911268349437232E-2"/>
          <c:y val="0.14472021354040282"/>
          <c:w val="0.91258872882786857"/>
          <c:h val="0.8306255763164280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Greeks_B76!$Y$12:$Y$112</c:f>
              <c:numCache>
                <c:formatCode>General</c:formatCode>
                <c:ptCount val="101"/>
                <c:pt idx="0">
                  <c:v>121.02905161241779</c:v>
                </c:pt>
                <c:pt idx="1">
                  <c:v>118.99527551961307</c:v>
                </c:pt>
                <c:pt idx="2">
                  <c:v>116.93199413905768</c:v>
                </c:pt>
                <c:pt idx="3">
                  <c:v>114.83253863411824</c:v>
                </c:pt>
                <c:pt idx="4">
                  <c:v>112.68902734726396</c:v>
                </c:pt>
                <c:pt idx="5">
                  <c:v>110.49221765813638</c:v>
                </c:pt>
                <c:pt idx="6">
                  <c:v>108.23135641760086</c:v>
                </c:pt>
                <c:pt idx="7">
                  <c:v>105.89403328775813</c:v>
                </c:pt>
                <c:pt idx="8">
                  <c:v>103.46604222109227</c:v>
                </c:pt>
                <c:pt idx="9">
                  <c:v>100.93125720247099</c:v>
                </c:pt>
                <c:pt idx="10">
                  <c:v>98.271529211931238</c:v>
                </c:pt>
                <c:pt idx="11">
                  <c:v>95.466612094243715</c:v>
                </c:pt>
                <c:pt idx="12">
                  <c:v>92.494125588703355</c:v>
                </c:pt>
                <c:pt idx="13">
                  <c:v>89.329564122419356</c:v>
                </c:pt>
                <c:pt idx="14">
                  <c:v>85.946360045749088</c:v>
                </c:pt>
                <c:pt idx="15">
                  <c:v>82.316009735756211</c:v>
                </c:pt>
                <c:pt idx="16">
                  <c:v>78.408270365808107</c:v>
                </c:pt>
                <c:pt idx="17">
                  <c:v>74.191434100019478</c:v>
                </c:pt>
                <c:pt idx="18">
                  <c:v>69.632684997582601</c:v>
                </c:pt>
                <c:pt idx="19">
                  <c:v>64.698541998781138</c:v>
                </c:pt>
                <c:pt idx="20">
                  <c:v>59.355389026501825</c:v>
                </c:pt>
                <c:pt idx="21">
                  <c:v>53.570090511503167</c:v>
                </c:pt>
                <c:pt idx="22">
                  <c:v>47.310687597185961</c:v>
                </c:pt>
                <c:pt idx="23">
                  <c:v>40.547166984142336</c:v>
                </c:pt>
                <c:pt idx="24">
                  <c:v>33.25229094243457</c:v>
                </c:pt>
                <c:pt idx="25">
                  <c:v>25.402473575882368</c:v>
                </c:pt>
                <c:pt idx="26">
                  <c:v>16.978685108239915</c:v>
                </c:pt>
                <c:pt idx="27">
                  <c:v>7.9673629266795842</c:v>
                </c:pt>
                <c:pt idx="28">
                  <c:v>-1.6386944826108447</c:v>
                </c:pt>
                <c:pt idx="29">
                  <c:v>-11.839476588622688</c:v>
                </c:pt>
                <c:pt idx="30">
                  <c:v>-22.626980035819543</c:v>
                </c:pt>
                <c:pt idx="31">
                  <c:v>-33.984525660053464</c:v>
                </c:pt>
                <c:pt idx="32">
                  <c:v>-45.886200449709236</c:v>
                </c:pt>
                <c:pt idx="33">
                  <c:v>-58.296450130077574</c:v>
                </c:pt>
                <c:pt idx="34">
                  <c:v>-71.169845566115555</c:v>
                </c:pt>
                <c:pt idx="35">
                  <c:v>-84.451042707288707</c:v>
                </c:pt>
                <c:pt idx="36">
                  <c:v>-98.074951405139018</c:v>
                </c:pt>
                <c:pt idx="37">
                  <c:v>-111.96712322993153</c:v>
                </c:pt>
                <c:pt idx="38">
                  <c:v>-126.04436254861173</c:v>
                </c:pt>
                <c:pt idx="39">
                  <c:v>-140.21555878944741</c:v>
                </c:pt>
                <c:pt idx="40">
                  <c:v>-154.38273122523378</c:v>
                </c:pt>
                <c:pt idx="41">
                  <c:v>-168.44227099283762</c:v>
                </c:pt>
                <c:pt idx="42">
                  <c:v>-182.28635867831889</c:v>
                </c:pt>
                <c:pt idx="43">
                  <c:v>-195.80452987930119</c:v>
                </c:pt>
                <c:pt idx="44">
                  <c:v>-208.8853559428876</c:v>
                </c:pt>
                <c:pt idx="45">
                  <c:v>-221.41820277907914</c:v>
                </c:pt>
                <c:pt idx="46">
                  <c:v>-233.29502744430022</c:v>
                </c:pt>
                <c:pt idx="47">
                  <c:v>-244.41217021442361</c:v>
                </c:pt>
                <c:pt idx="48">
                  <c:v>-254.67209921112863</c:v>
                </c:pt>
                <c:pt idx="49">
                  <c:v>-263.98506534735952</c:v>
                </c:pt>
                <c:pt idx="50">
                  <c:v>-272.27062740112063</c:v>
                </c:pt>
                <c:pt idx="51">
                  <c:v>-279.45901034317927</c:v>
                </c:pt>
                <c:pt idx="52">
                  <c:v>-285.49226451505564</c:v>
                </c:pt>
                <c:pt idx="53">
                  <c:v>-290.32519871628568</c:v>
                </c:pt>
                <c:pt idx="54">
                  <c:v>-293.92606651528644</c:v>
                </c:pt>
                <c:pt idx="55">
                  <c:v>-296.27699191921903</c:v>
                </c:pt>
                <c:pt idx="56">
                  <c:v>-297.37412768086068</c:v>
                </c:pt>
                <c:pt idx="57">
                  <c:v>-297.22754673341268</c:v>
                </c:pt>
                <c:pt idx="58">
                  <c:v>-295.86087428016486</c:v>
                </c:pt>
                <c:pt idx="59">
                  <c:v>-293.31067469167709</c:v>
                </c:pt>
                <c:pt idx="60">
                  <c:v>-289.62561336846153</c:v>
                </c:pt>
                <c:pt idx="61">
                  <c:v>-284.86541893271891</c:v>
                </c:pt>
                <c:pt idx="62">
                  <c:v>-279.09967537606792</c:v>
                </c:pt>
                <c:pt idx="63">
                  <c:v>-272.40647700991786</c:v>
                </c:pt>
                <c:pt idx="64">
                  <c:v>-264.87098118276123</c:v>
                </c:pt>
                <c:pt idx="65">
                  <c:v>-256.58389472892003</c:v>
                </c:pt>
                <c:pt idx="66">
                  <c:v>-247.63993002224035</c:v>
                </c:pt>
                <c:pt idx="67">
                  <c:v>-238.13626538979548</c:v>
                </c:pt>
                <c:pt idx="68">
                  <c:v>-228.17104259171069</c:v>
                </c:pt>
                <c:pt idx="69">
                  <c:v>-217.841931217629</c:v>
                </c:pt>
                <c:pt idx="70">
                  <c:v>-207.24478633221776</c:v>
                </c:pt>
                <c:pt idx="71">
                  <c:v>-196.47242167880714</c:v>
                </c:pt>
                <c:pt idx="72">
                  <c:v>-185.61351638525531</c:v>
                </c:pt>
                <c:pt idx="73">
                  <c:v>-174.75166857220248</c:v>
                </c:pt>
                <c:pt idx="74">
                  <c:v>-163.96460469707336</c:v>
                </c:pt>
                <c:pt idx="75">
                  <c:v>-153.32354902126988</c:v>
                </c:pt>
                <c:pt idx="76">
                  <c:v>-142.89275339022572</c:v>
                </c:pt>
                <c:pt idx="77">
                  <c:v>-132.72918367378247</c:v>
                </c:pt>
                <c:pt idx="78">
                  <c:v>-122.88235581307339</c:v>
                </c:pt>
                <c:pt idx="79">
                  <c:v>-113.39431152207463</c:v>
                </c:pt>
                <c:pt idx="80">
                  <c:v>-104.29972133646167</c:v>
                </c:pt>
                <c:pt idx="81">
                  <c:v>-95.626100906513145</c:v>
                </c:pt>
                <c:pt idx="82">
                  <c:v>-87.394125191125539</c:v>
                </c:pt>
                <c:pt idx="83">
                  <c:v>-79.618024505137797</c:v>
                </c:pt>
                <c:pt idx="84">
                  <c:v>-72.306046165321703</c:v>
                </c:pt>
                <c:pt idx="85">
                  <c:v>-65.460965722563984</c:v>
                </c:pt>
                <c:pt idx="86">
                  <c:v>-59.080632400909785</c:v>
                </c:pt>
                <c:pt idx="87">
                  <c:v>-53.158534324311987</c:v>
                </c:pt>
                <c:pt idx="88">
                  <c:v>-47.684370332324825</c:v>
                </c:pt>
                <c:pt idx="89">
                  <c:v>-42.644616599593817</c:v>
                </c:pt>
                <c:pt idx="90">
                  <c:v>-38.023077816119482</c:v>
                </c:pt>
                <c:pt idx="91">
                  <c:v>-33.801414295325273</c:v>
                </c:pt>
                <c:pt idx="92">
                  <c:v>-29.959638000225851</c:v>
                </c:pt>
                <c:pt idx="93">
                  <c:v>-26.476572066568927</c:v>
                </c:pt>
                <c:pt idx="94">
                  <c:v>-23.330269915460804</c:v>
                </c:pt>
                <c:pt idx="95">
                  <c:v>-20.498391454367365</c:v>
                </c:pt>
                <c:pt idx="96">
                  <c:v>-17.958535140028857</c:v>
                </c:pt>
                <c:pt idx="97">
                  <c:v>-15.688525802953659</c:v>
                </c:pt>
                <c:pt idx="98">
                  <c:v>-13.666659100911218</c:v>
                </c:pt>
                <c:pt idx="99">
                  <c:v>-11.871904274786537</c:v>
                </c:pt>
                <c:pt idx="100">
                  <c:v>-10.284067526244131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CD-4E56-99CA-BA5EE54F771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Greeks_B76!$Z$12:$Z$112</c:f>
              <c:numCache>
                <c:formatCode>General</c:formatCode>
                <c:ptCount val="101"/>
                <c:pt idx="0">
                  <c:v>111.23292908333906</c:v>
                </c:pt>
                <c:pt idx="1">
                  <c:v>109.20091490233506</c:v>
                </c:pt>
                <c:pt idx="2">
                  <c:v>107.13986837814673</c:v>
                </c:pt>
                <c:pt idx="3">
                  <c:v>105.04323076267144</c:v>
                </c:pt>
                <c:pt idx="4">
                  <c:v>102.90325151077957</c:v>
                </c:pt>
                <c:pt idx="5">
                  <c:v>100.71084301286942</c:v>
                </c:pt>
                <c:pt idx="6">
                  <c:v>98.455434036130328</c:v>
                </c:pt>
                <c:pt idx="7">
                  <c:v>96.124826148905072</c:v>
                </c:pt>
                <c:pt idx="8">
                  <c:v>93.705058290598004</c:v>
                </c:pt>
                <c:pt idx="9">
                  <c:v>91.180285524455826</c:v>
                </c:pt>
                <c:pt idx="10">
                  <c:v>88.532678829152815</c:v>
                </c:pt>
                <c:pt idx="11">
                  <c:v>85.742353498339298</c:v>
                </c:pt>
                <c:pt idx="12">
                  <c:v>82.787334271461873</c:v>
                </c:pt>
                <c:pt idx="13">
                  <c:v>79.643565658136481</c:v>
                </c:pt>
                <c:pt idx="14">
                  <c:v>76.284975986178097</c:v>
                </c:pt>
                <c:pt idx="15">
                  <c:v>72.683603447361747</c:v>
                </c:pt>
                <c:pt idx="16">
                  <c:v>68.809791789041697</c:v>
                </c:pt>
                <c:pt idx="17">
                  <c:v>64.632462268066206</c:v>
                </c:pt>
                <c:pt idx="18">
                  <c:v>60.119467023959601</c:v>
                </c:pt>
                <c:pt idx="19">
                  <c:v>55.238027136184201</c:v>
                </c:pt>
                <c:pt idx="20">
                  <c:v>49.95525632043848</c:v>
                </c:pt>
                <c:pt idx="21">
                  <c:v>44.238768528357355</c:v>
                </c:pt>
                <c:pt idx="22">
                  <c:v>38.057364703819076</c:v>
                </c:pt>
                <c:pt idx="23">
                  <c:v>31.38179070041474</c:v>
                </c:pt>
                <c:pt idx="24">
                  <c:v>24.185554983463476</c:v>
                </c:pt>
                <c:pt idx="25">
                  <c:v>16.445791350143281</c:v>
                </c:pt>
                <c:pt idx="26">
                  <c:v>8.1441486417038504</c:v>
                </c:pt>
                <c:pt idx="27">
                  <c:v>-0.73231355911900664</c:v>
                </c:pt>
                <c:pt idx="28">
                  <c:v>-10.190246802782895</c:v>
                </c:pt>
                <c:pt idx="29">
                  <c:v>-20.229178749202333</c:v>
                </c:pt>
                <c:pt idx="30">
                  <c:v>-30.840748032967781</c:v>
                </c:pt>
                <c:pt idx="31">
                  <c:v>-42.008036231645519</c:v>
                </c:pt>
                <c:pt idx="32">
                  <c:v>-53.705023656824096</c:v>
                </c:pt>
                <c:pt idx="33">
                  <c:v>-65.896194214843717</c:v>
                </c:pt>
                <c:pt idx="34">
                  <c:v>-78.536312114544785</c:v>
                </c:pt>
                <c:pt idx="35">
                  <c:v>-91.570389756057011</c:v>
                </c:pt>
                <c:pt idx="36">
                  <c:v>-104.93386178445076</c:v>
                </c:pt>
                <c:pt idx="37">
                  <c:v>-118.55297514462916</c:v>
                </c:pt>
                <c:pt idx="38">
                  <c:v>-132.34539917915174</c:v>
                </c:pt>
                <c:pt idx="39">
                  <c:v>-146.22105355389544</c:v>
                </c:pt>
                <c:pt idx="40">
                  <c:v>-160.08314529118115</c:v>
                </c:pt>
                <c:pt idx="41">
                  <c:v>-173.82939966934373</c:v>
                </c:pt>
                <c:pt idx="42">
                  <c:v>-187.3534634546487</c:v>
                </c:pt>
                <c:pt idx="43">
                  <c:v>-200.54645310796968</c:v>
                </c:pt>
                <c:pt idx="44">
                  <c:v>-213.29861548452379</c:v>
                </c:pt>
                <c:pt idx="45">
                  <c:v>-225.50106432777091</c:v>
                </c:pt>
                <c:pt idx="46">
                  <c:v>-237.04755272322518</c:v>
                </c:pt>
                <c:pt idx="47">
                  <c:v>-247.83623975892618</c:v>
                </c:pt>
                <c:pt idx="48">
                  <c:v>-257.77140902410622</c:v>
                </c:pt>
                <c:pt idx="49">
                  <c:v>-266.76509730247096</c:v>
                </c:pt>
                <c:pt idx="50">
                  <c:v>-274.73859386477045</c:v>
                </c:pt>
                <c:pt idx="51">
                  <c:v>-281.62377406815517</c:v>
                </c:pt>
                <c:pt idx="52">
                  <c:v>-287.36423540942189</c:v>
                </c:pt>
                <c:pt idx="53">
                  <c:v>-291.91620959425626</c:v>
                </c:pt>
                <c:pt idx="54">
                  <c:v>-295.24923037776614</c:v>
                </c:pt>
                <c:pt idx="55">
                  <c:v>-297.34654367838812</c:v>
                </c:pt>
                <c:pt idx="56">
                  <c:v>-298.20525352621678</c:v>
                </c:pt>
                <c:pt idx="57">
                  <c:v>-297.83620452980898</c:v>
                </c:pt>
                <c:pt idx="58">
                  <c:v>-296.26360848850624</c:v>
                </c:pt>
                <c:pt idx="59">
                  <c:v>-293.52442931019351</c:v>
                </c:pt>
                <c:pt idx="60">
                  <c:v>-289.6675463100708</c:v>
                </c:pt>
                <c:pt idx="61">
                  <c:v>-284.75272108796219</c:v>
                </c:pt>
                <c:pt idx="62">
                  <c:v>-278.84939736996176</c:v>
                </c:pt>
                <c:pt idx="63">
                  <c:v>-272.03536635537438</c:v>
                </c:pt>
                <c:pt idx="64">
                  <c:v>-264.39533217509239</c:v>
                </c:pt>
                <c:pt idx="65">
                  <c:v>-256.01941302851361</c:v>
                </c:pt>
                <c:pt idx="66">
                  <c:v>-247.0016134493921</c:v>
                </c:pt>
                <c:pt idx="67">
                  <c:v>-237.43830202053078</c:v>
                </c:pt>
                <c:pt idx="68">
                  <c:v>-227.42672680932179</c:v>
                </c:pt>
                <c:pt idx="69">
                  <c:v>-217.06359795376409</c:v>
                </c:pt>
                <c:pt idx="70">
                  <c:v>-206.44376333455617</c:v>
                </c:pt>
                <c:pt idx="71">
                  <c:v>-195.65899927893432</c:v>
                </c:pt>
                <c:pt idx="72">
                  <c:v>-184.79693391782683</c:v>
                </c:pt>
                <c:pt idx="73">
                  <c:v>-173.94011632048347</c:v>
                </c:pt>
                <c:pt idx="74">
                  <c:v>-163.165240014159</c:v>
                </c:pt>
                <c:pt idx="75">
                  <c:v>-152.54252510255162</c:v>
                </c:pt>
                <c:pt idx="76">
                  <c:v>-142.13525905102165</c:v>
                </c:pt>
                <c:pt idx="77">
                  <c:v>-131.99949241494173</c:v>
                </c:pt>
                <c:pt idx="78">
                  <c:v>-122.18388243385117</c:v>
                </c:pt>
                <c:pt idx="79">
                  <c:v>-112.72967455955653</c:v>
                </c:pt>
                <c:pt idx="80">
                  <c:v>-103.67080966930119</c:v>
                </c:pt>
                <c:pt idx="81">
                  <c:v>-95.034142952108269</c:v>
                </c:pt>
                <c:pt idx="82">
                  <c:v>-86.839759243599914</c:v>
                </c:pt>
                <c:pt idx="83">
                  <c:v>-79.101368900475933</c:v>
                </c:pt>
                <c:pt idx="84">
                  <c:v>-71.826768113687891</c:v>
                </c:pt>
                <c:pt idx="85">
                  <c:v>-65.018347810436637</c:v>
                </c:pt>
                <c:pt idx="86">
                  <c:v>-58.673635931844792</c:v>
                </c:pt>
                <c:pt idx="87">
                  <c:v>-52.785858832117157</c:v>
                </c:pt>
                <c:pt idx="88">
                  <c:v>-47.344508760030038</c:v>
                </c:pt>
                <c:pt idx="89">
                  <c:v>-42.335905788373253</c:v>
                </c:pt>
                <c:pt idx="90">
                  <c:v>-37.74374408751067</c:v>
                </c:pt>
                <c:pt idx="91">
                  <c:v>-33.549614035644787</c:v>
                </c:pt>
                <c:pt idx="92">
                  <c:v>-29.733493266626166</c:v>
                </c:pt>
                <c:pt idx="93">
                  <c:v>-26.274201328961205</c:v>
                </c:pt>
                <c:pt idx="94">
                  <c:v>-23.149814127347632</c:v>
                </c:pt>
                <c:pt idx="95">
                  <c:v>-20.338035708774779</c:v>
                </c:pt>
                <c:pt idx="96">
                  <c:v>-17.816526214888711</c:v>
                </c:pt>
                <c:pt idx="97">
                  <c:v>-15.563185934476772</c:v>
                </c:pt>
                <c:pt idx="98">
                  <c:v>-13.556396344960946</c:v>
                </c:pt>
                <c:pt idx="99">
                  <c:v>-11.775219826428156</c:v>
                </c:pt>
                <c:pt idx="100">
                  <c:v>-10.199560368018883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CD-4E56-99CA-BA5EE54F771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Greeks_B76!$AA$12:$AA$112</c:f>
              <c:numCache>
                <c:formatCode>General</c:formatCode>
                <c:ptCount val="101"/>
                <c:pt idx="0">
                  <c:v>101.43680655426044</c:v>
                </c:pt>
                <c:pt idx="1">
                  <c:v>99.406554285057155</c:v>
                </c:pt>
                <c:pt idx="2">
                  <c:v>97.347742617235781</c:v>
                </c:pt>
                <c:pt idx="3">
                  <c:v>95.253922891224761</c:v>
                </c:pt>
                <c:pt idx="4">
                  <c:v>93.117475674295179</c:v>
                </c:pt>
                <c:pt idx="5">
                  <c:v>90.929468367602681</c:v>
                </c:pt>
                <c:pt idx="6">
                  <c:v>88.679511654660018</c:v>
                </c:pt>
                <c:pt idx="7">
                  <c:v>86.355619010051896</c:v>
                </c:pt>
                <c:pt idx="8">
                  <c:v>83.944074360103627</c:v>
                </c:pt>
                <c:pt idx="9">
                  <c:v>81.42931384644055</c:v>
                </c:pt>
                <c:pt idx="10">
                  <c:v>78.793828446374505</c:v>
                </c:pt>
                <c:pt idx="11">
                  <c:v>76.018094902434768</c:v>
                </c:pt>
                <c:pt idx="12">
                  <c:v>73.080542954220391</c:v>
                </c:pt>
                <c:pt idx="13">
                  <c:v>69.957567193853379</c:v>
                </c:pt>
                <c:pt idx="14">
                  <c:v>66.623591926606764</c:v>
                </c:pt>
                <c:pt idx="15">
                  <c:v>63.05119715896717</c:v>
                </c:pt>
                <c:pt idx="16">
                  <c:v>59.2113132122754</c:v>
                </c:pt>
                <c:pt idx="17">
                  <c:v>55.073490436113048</c:v>
                </c:pt>
                <c:pt idx="18">
                  <c:v>50.606249050336373</c:v>
                </c:pt>
                <c:pt idx="19">
                  <c:v>45.777512273587263</c:v>
                </c:pt>
                <c:pt idx="20">
                  <c:v>40.555123614374793</c:v>
                </c:pt>
                <c:pt idx="21">
                  <c:v>34.907446545211656</c:v>
                </c:pt>
                <c:pt idx="22">
                  <c:v>28.80404181045219</c:v>
                </c:pt>
                <c:pt idx="23">
                  <c:v>22.216414416687144</c:v>
                </c:pt>
                <c:pt idx="24">
                  <c:v>15.118819024492609</c:v>
                </c:pt>
                <c:pt idx="25">
                  <c:v>7.4891091244041945</c:v>
                </c:pt>
                <c:pt idx="26">
                  <c:v>-0.69038782483198702</c:v>
                </c:pt>
                <c:pt idx="27">
                  <c:v>-9.4319900449177112</c:v>
                </c:pt>
                <c:pt idx="28">
                  <c:v>-18.741799122955058</c:v>
                </c:pt>
                <c:pt idx="29">
                  <c:v>-28.618880909781751</c:v>
                </c:pt>
                <c:pt idx="30">
                  <c:v>-39.054516030116133</c:v>
                </c:pt>
                <c:pt idx="31">
                  <c:v>-50.031546803237461</c:v>
                </c:pt>
                <c:pt idx="32">
                  <c:v>-61.523846863938957</c:v>
                </c:pt>
                <c:pt idx="33">
                  <c:v>-73.495938299609975</c:v>
                </c:pt>
                <c:pt idx="34">
                  <c:v>-85.902778662974129</c:v>
                </c:pt>
                <c:pt idx="35">
                  <c:v>-98.689736804825316</c:v>
                </c:pt>
                <c:pt idx="36">
                  <c:v>-111.79277216376227</c:v>
                </c:pt>
                <c:pt idx="37">
                  <c:v>-125.13882705932656</c:v>
                </c:pt>
                <c:pt idx="38">
                  <c:v>-138.64643580969175</c:v>
                </c:pt>
                <c:pt idx="39">
                  <c:v>-152.22654831834348</c:v>
                </c:pt>
                <c:pt idx="40">
                  <c:v>-165.78355935712864</c:v>
                </c:pt>
                <c:pt idx="41">
                  <c:v>-179.21652834584967</c:v>
                </c:pt>
                <c:pt idx="42">
                  <c:v>-192.42056823097835</c:v>
                </c:pt>
                <c:pt idx="43">
                  <c:v>-205.28837633663807</c:v>
                </c:pt>
                <c:pt idx="44">
                  <c:v>-217.71187502615987</c:v>
                </c:pt>
                <c:pt idx="45">
                  <c:v>-229.5839258764629</c:v>
                </c:pt>
                <c:pt idx="46">
                  <c:v>-240.80007800215003</c:v>
                </c:pt>
                <c:pt idx="47">
                  <c:v>-251.2603093034287</c:v>
                </c:pt>
                <c:pt idx="48">
                  <c:v>-260.87071883708364</c:v>
                </c:pt>
                <c:pt idx="49">
                  <c:v>-269.54512925758235</c:v>
                </c:pt>
                <c:pt idx="50">
                  <c:v>-277.20656032842044</c:v>
                </c:pt>
                <c:pt idx="51">
                  <c:v>-283.78853779313107</c:v>
                </c:pt>
                <c:pt idx="52">
                  <c:v>-289.23620630378821</c:v>
                </c:pt>
                <c:pt idx="53">
                  <c:v>-293.50722047222672</c:v>
                </c:pt>
                <c:pt idx="54">
                  <c:v>-296.57239424024596</c:v>
                </c:pt>
                <c:pt idx="55">
                  <c:v>-298.41609543755737</c:v>
                </c:pt>
                <c:pt idx="56">
                  <c:v>-299.03637937157293</c:v>
                </c:pt>
                <c:pt idx="57">
                  <c:v>-298.44486232620505</c:v>
                </c:pt>
                <c:pt idx="58">
                  <c:v>-296.66634269684749</c:v>
                </c:pt>
                <c:pt idx="59">
                  <c:v>-293.73818392870999</c:v>
                </c:pt>
                <c:pt idx="60">
                  <c:v>-289.70947925168008</c:v>
                </c:pt>
                <c:pt idx="61">
                  <c:v>-284.64002324320535</c:v>
                </c:pt>
                <c:pt idx="62">
                  <c:v>-278.59911936385561</c:v>
                </c:pt>
                <c:pt idx="63">
                  <c:v>-271.66425570083078</c:v>
                </c:pt>
                <c:pt idx="64">
                  <c:v>-263.91968316742356</c:v>
                </c:pt>
                <c:pt idx="65">
                  <c:v>-255.45493132810714</c:v>
                </c:pt>
                <c:pt idx="66">
                  <c:v>-246.36329687654379</c:v>
                </c:pt>
                <c:pt idx="67">
                  <c:v>-236.74033865126606</c:v>
                </c:pt>
                <c:pt idx="68">
                  <c:v>-226.68241102693298</c:v>
                </c:pt>
                <c:pt idx="69">
                  <c:v>-216.28526468989924</c:v>
                </c:pt>
                <c:pt idx="70">
                  <c:v>-205.6427403368946</c:v>
                </c:pt>
                <c:pt idx="71">
                  <c:v>-194.8455768790615</c:v>
                </c:pt>
                <c:pt idx="72">
                  <c:v>-183.9803514503983</c:v>
                </c:pt>
                <c:pt idx="73">
                  <c:v>-173.12856406876446</c:v>
                </c:pt>
                <c:pt idx="74">
                  <c:v>-162.36587533124467</c:v>
                </c:pt>
                <c:pt idx="75">
                  <c:v>-151.76150118383333</c:v>
                </c:pt>
                <c:pt idx="76">
                  <c:v>-141.37776471181752</c:v>
                </c:pt>
                <c:pt idx="77">
                  <c:v>-131.26980115610101</c:v>
                </c:pt>
                <c:pt idx="78">
                  <c:v>-121.48540905462896</c:v>
                </c:pt>
                <c:pt idx="79">
                  <c:v>-112.06503759703844</c:v>
                </c:pt>
                <c:pt idx="80">
                  <c:v>-103.0418980021407</c:v>
                </c:pt>
                <c:pt idx="81">
                  <c:v>-94.442184997703393</c:v>
                </c:pt>
                <c:pt idx="82">
                  <c:v>-86.285393296074261</c:v>
                </c:pt>
                <c:pt idx="83">
                  <c:v>-78.584713295814055</c:v>
                </c:pt>
                <c:pt idx="84">
                  <c:v>-71.347490062054078</c:v>
                </c:pt>
                <c:pt idx="85">
                  <c:v>-64.575729898309277</c:v>
                </c:pt>
                <c:pt idx="86">
                  <c:v>-58.266639462779786</c:v>
                </c:pt>
                <c:pt idx="87">
                  <c:v>-52.41318333992232</c:v>
                </c:pt>
                <c:pt idx="88">
                  <c:v>-47.004647187735245</c:v>
                </c:pt>
                <c:pt idx="89">
                  <c:v>-42.027194977152682</c:v>
                </c:pt>
                <c:pt idx="90">
                  <c:v>-37.464410358901858</c:v>
                </c:pt>
                <c:pt idx="91">
                  <c:v>-33.2978137759643</c:v>
                </c:pt>
                <c:pt idx="92">
                  <c:v>-29.507348533026484</c:v>
                </c:pt>
                <c:pt idx="93">
                  <c:v>-26.071830591353482</c:v>
                </c:pt>
                <c:pt idx="94">
                  <c:v>-22.969358339234461</c:v>
                </c:pt>
                <c:pt idx="95">
                  <c:v>-20.177679963182186</c:v>
                </c:pt>
                <c:pt idx="96">
                  <c:v>-17.674517289748561</c:v>
                </c:pt>
                <c:pt idx="97">
                  <c:v>-15.437846065999883</c:v>
                </c:pt>
                <c:pt idx="98">
                  <c:v>-13.446133589010673</c:v>
                </c:pt>
                <c:pt idx="99">
                  <c:v>-11.678535378069776</c:v>
                </c:pt>
                <c:pt idx="100">
                  <c:v>-10.115053209793631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CD-4E56-99CA-BA5EE54F7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Theta Put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99709519100145E-2"/>
          <c:y val="0.13415412347904465"/>
          <c:w val="0.90964760971684266"/>
          <c:h val="0.8306255763164280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Greeks_B76!$AB$12:$AB$112</c:f>
              <c:numCache>
                <c:formatCode>General</c:formatCode>
                <c:ptCount val="101"/>
                <c:pt idx="0">
                  <c:v>-0.37926635942790965</c:v>
                </c:pt>
                <c:pt idx="1">
                  <c:v>-0.49146357392803863</c:v>
                </c:pt>
                <c:pt idx="2">
                  <c:v>-0.63316607617871712</c:v>
                </c:pt>
                <c:pt idx="3">
                  <c:v>-0.81104270281345747</c:v>
                </c:pt>
                <c:pt idx="4">
                  <c:v>-1.0329751113630401</c:v>
                </c:pt>
                <c:pt idx="5">
                  <c:v>-1.3082059221860853</c:v>
                </c:pt>
                <c:pt idx="6">
                  <c:v>-1.6474882844169101</c:v>
                </c:pt>
                <c:pt idx="7">
                  <c:v>-2.0632325359548651</c:v>
                </c:pt>
                <c:pt idx="8">
                  <c:v>-2.5696447243161216</c:v>
                </c:pt>
                <c:pt idx="9">
                  <c:v>-3.1828508646327598</c:v>
                </c:pt>
                <c:pt idx="10">
                  <c:v>-3.9209999768679435</c:v>
                </c:pt>
                <c:pt idx="11">
                  <c:v>-4.8043382162506489</c:v>
                </c:pt>
                <c:pt idx="12">
                  <c:v>-5.8552458434865384</c:v>
                </c:pt>
                <c:pt idx="13">
                  <c:v>-7.0982284314657358</c:v>
                </c:pt>
                <c:pt idx="14">
                  <c:v>-8.5598536298313732</c:v>
                </c:pt>
                <c:pt idx="15">
                  <c:v>-10.268625061519771</c:v>
                </c:pt>
                <c:pt idx="16">
                  <c:v>-12.254785553163119</c:v>
                </c:pt>
                <c:pt idx="17">
                  <c:v>-14.550042940647131</c:v>
                </c:pt>
                <c:pt idx="18">
                  <c:v>-17.187213164779369</c:v>
                </c:pt>
                <c:pt idx="19">
                  <c:v>-20.199777285275935</c:v>
                </c:pt>
                <c:pt idx="20">
                  <c:v>-23.621351379250747</c:v>
                </c:pt>
                <c:pt idx="21">
                  <c:v>-27.485071015944829</c:v>
                </c:pt>
                <c:pt idx="22">
                  <c:v>-31.822895051957314</c:v>
                </c:pt>
                <c:pt idx="23">
                  <c:v>-36.664836786696455</c:v>
                </c:pt>
                <c:pt idx="24">
                  <c:v>-42.038133950099621</c:v>
                </c:pt>
                <c:pt idx="25">
                  <c:v>-47.966372438346951</c:v>
                </c:pt>
                <c:pt idx="26">
                  <c:v>-54.468582027684846</c:v>
                </c:pt>
                <c:pt idx="27">
                  <c:v>-61.558325330940377</c:v>
                </c:pt>
                <c:pt idx="28">
                  <c:v>-69.242803861926291</c:v>
                </c:pt>
                <c:pt idx="29">
                  <c:v>-77.522007089633632</c:v>
                </c:pt>
                <c:pt idx="30">
                  <c:v>-86.387931658525616</c:v>
                </c:pt>
                <c:pt idx="31">
                  <c:v>-95.823898404455065</c:v>
                </c:pt>
                <c:pt idx="32">
                  <c:v>-105.80399431580615</c:v>
                </c:pt>
                <c:pt idx="33">
                  <c:v>-116.29266511786979</c:v>
                </c:pt>
                <c:pt idx="34">
                  <c:v>-127.24448167560337</c:v>
                </c:pt>
                <c:pt idx="35">
                  <c:v>-138.60409993847176</c:v>
                </c:pt>
                <c:pt idx="36">
                  <c:v>-150.30642975801732</c:v>
                </c:pt>
                <c:pt idx="37">
                  <c:v>-162.2770227045051</c:v>
                </c:pt>
                <c:pt idx="38">
                  <c:v>-174.4326831448808</c:v>
                </c:pt>
                <c:pt idx="39">
                  <c:v>-186.68230050741184</c:v>
                </c:pt>
                <c:pt idx="40">
                  <c:v>-198.92789406489354</c:v>
                </c:pt>
                <c:pt idx="41">
                  <c:v>-211.06585495419279</c:v>
                </c:pt>
                <c:pt idx="42">
                  <c:v>-222.98836376136944</c:v>
                </c:pt>
                <c:pt idx="43">
                  <c:v>-234.58495608404712</c:v>
                </c:pt>
                <c:pt idx="44">
                  <c:v>-245.74420326932875</c:v>
                </c:pt>
                <c:pt idx="45">
                  <c:v>-256.35547122721556</c:v>
                </c:pt>
                <c:pt idx="46">
                  <c:v>-266.31071701413214</c:v>
                </c:pt>
                <c:pt idx="47">
                  <c:v>-275.5062809059508</c:v>
                </c:pt>
                <c:pt idx="48">
                  <c:v>-283.84463102435114</c:v>
                </c:pt>
                <c:pt idx="49">
                  <c:v>-291.23601828227737</c:v>
                </c:pt>
                <c:pt idx="50">
                  <c:v>-297.60000145773398</c:v>
                </c:pt>
                <c:pt idx="51">
                  <c:v>-302.86680552148795</c:v>
                </c:pt>
                <c:pt idx="52">
                  <c:v>-306.9784808150597</c:v>
                </c:pt>
                <c:pt idx="53">
                  <c:v>-309.88983613798501</c:v>
                </c:pt>
                <c:pt idx="54">
                  <c:v>-311.56912505868115</c:v>
                </c:pt>
                <c:pt idx="55">
                  <c:v>-311.99847158430907</c:v>
                </c:pt>
                <c:pt idx="56">
                  <c:v>-311.17402846764605</c:v>
                </c:pt>
                <c:pt idx="57">
                  <c:v>-309.10586864189361</c:v>
                </c:pt>
                <c:pt idx="58">
                  <c:v>-305.81761731034101</c:v>
                </c:pt>
                <c:pt idx="59">
                  <c:v>-301.34583884354851</c:v>
                </c:pt>
                <c:pt idx="60">
                  <c:v>-295.73919864202833</c:v>
                </c:pt>
                <c:pt idx="61">
                  <c:v>-289.05742532798115</c:v>
                </c:pt>
                <c:pt idx="62">
                  <c:v>-281.37010289302543</c:v>
                </c:pt>
                <c:pt idx="63">
                  <c:v>-272.75532564857099</c:v>
                </c:pt>
                <c:pt idx="64">
                  <c:v>-263.29825094310957</c:v>
                </c:pt>
                <c:pt idx="65">
                  <c:v>-253.08958561096358</c:v>
                </c:pt>
                <c:pt idx="66">
                  <c:v>-242.22404202597932</c:v>
                </c:pt>
                <c:pt idx="67">
                  <c:v>-230.79879851522981</c:v>
                </c:pt>
                <c:pt idx="68">
                  <c:v>-218.91199683884042</c:v>
                </c:pt>
                <c:pt idx="69">
                  <c:v>-206.66130658645409</c:v>
                </c:pt>
                <c:pt idx="70">
                  <c:v>-194.14258282273795</c:v>
                </c:pt>
                <c:pt idx="71">
                  <c:v>-181.4486392910228</c:v>
                </c:pt>
                <c:pt idx="72">
                  <c:v>-168.6681551191665</c:v>
                </c:pt>
                <c:pt idx="73">
                  <c:v>-155.88472842780891</c:v>
                </c:pt>
                <c:pt idx="74">
                  <c:v>-143.17608567437526</c:v>
                </c:pt>
                <c:pt idx="75">
                  <c:v>-130.61345112026697</c:v>
                </c:pt>
                <c:pt idx="76">
                  <c:v>-118.26107661091805</c:v>
                </c:pt>
                <c:pt idx="77">
                  <c:v>-106.17592801617036</c:v>
                </c:pt>
                <c:pt idx="78">
                  <c:v>-94.407521277156548</c:v>
                </c:pt>
                <c:pt idx="79">
                  <c:v>-82.997898107853189</c:v>
                </c:pt>
                <c:pt idx="80">
                  <c:v>-71.981729043935502</c:v>
                </c:pt>
                <c:pt idx="81">
                  <c:v>-61.386529735682416</c:v>
                </c:pt>
                <c:pt idx="82">
                  <c:v>-51.232975141989982</c:v>
                </c:pt>
                <c:pt idx="83">
                  <c:v>-41.535295577697752</c:v>
                </c:pt>
                <c:pt idx="84">
                  <c:v>-32.30173835957703</c:v>
                </c:pt>
                <c:pt idx="85">
                  <c:v>-23.535079038514709</c:v>
                </c:pt>
                <c:pt idx="86">
                  <c:v>-15.233166838555803</c:v>
                </c:pt>
                <c:pt idx="87">
                  <c:v>-7.3894898836533685</c:v>
                </c:pt>
                <c:pt idx="88">
                  <c:v>6.2529866384011257E-3</c:v>
                </c:pt>
                <c:pt idx="89">
                  <c:v>6.9675855976742014</c:v>
                </c:pt>
                <c:pt idx="90">
                  <c:v>13.51070325945318</c:v>
                </c:pt>
                <c:pt idx="91">
                  <c:v>19.653945658551947</c:v>
                </c:pt>
                <c:pt idx="92">
                  <c:v>25.41730083195614</c:v>
                </c:pt>
                <c:pt idx="93">
                  <c:v>30.821945643917502</c:v>
                </c:pt>
                <c:pt idx="94">
                  <c:v>35.88982667333039</c:v>
                </c:pt>
                <c:pt idx="95">
                  <c:v>40.643284012728373</c:v>
                </c:pt>
                <c:pt idx="96">
                  <c:v>45.104719205371453</c:v>
                </c:pt>
                <c:pt idx="97">
                  <c:v>49.296307420751418</c:v>
                </c:pt>
                <c:pt idx="98">
                  <c:v>53.239753001098393</c:v>
                </c:pt>
                <c:pt idx="99">
                  <c:v>56.956086705527809</c:v>
                </c:pt>
                <c:pt idx="100">
                  <c:v>60.465502332374967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AD-43B5-BD22-8021DB6A032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Greeks_B76!$AC$12:$AC$112</c:f>
              <c:numCache>
                <c:formatCode>General</c:formatCode>
                <c:ptCount val="101"/>
                <c:pt idx="0">
                  <c:v>-0.37340215543908817</c:v>
                </c:pt>
                <c:pt idx="1">
                  <c:v>-0.48383745813840606</c:v>
                </c:pt>
                <c:pt idx="2">
                  <c:v>-0.62330510402205352</c:v>
                </c:pt>
                <c:pt idx="3">
                  <c:v>-0.79836384119264814</c:v>
                </c:pt>
                <c:pt idx="4">
                  <c:v>-1.0167642147798155</c:v>
                </c:pt>
                <c:pt idx="5">
                  <c:v>-1.287593834385397</c:v>
                </c:pt>
                <c:pt idx="6">
                  <c:v>-1.6214239328197704</c:v>
                </c:pt>
                <c:pt idx="7">
                  <c:v>-2.0304529417404655</c:v>
                </c:pt>
                <c:pt idx="8">
                  <c:v>-2.5286419217428699</c:v>
                </c:pt>
                <c:pt idx="9">
                  <c:v>-3.1318358095804366</c:v>
                </c:pt>
                <c:pt idx="10">
                  <c:v>-3.8578636265787405</c:v>
                </c:pt>
                <c:pt idx="11">
                  <c:v>-4.7266100790876271</c:v>
                </c:pt>
                <c:pt idx="12">
                  <c:v>-5.7600504276604516</c:v>
                </c:pt>
                <c:pt idx="13">
                  <c:v>-6.9822401626812054</c:v>
                </c:pt>
                <c:pt idx="14">
                  <c:v>-8.4192509563349667</c:v>
                </c:pt>
                <c:pt idx="15">
                  <c:v>-10.099044616846729</c:v>
                </c:pt>
                <c:pt idx="16">
                  <c:v>-12.051277396862</c:v>
                </c:pt>
                <c:pt idx="17">
                  <c:v>-14.307028039532771</c:v>
                </c:pt>
                <c:pt idx="18">
                  <c:v>-16.898444405334942</c:v>
                </c:pt>
                <c:pt idx="19">
                  <c:v>-19.8583054148054</c:v>
                </c:pt>
                <c:pt idx="20">
                  <c:v>-23.219497352246762</c:v>
                </c:pt>
                <c:pt idx="21">
                  <c:v>-27.014406266023027</c:v>
                </c:pt>
                <c:pt idx="22">
                  <c:v>-31.274231212256705</c:v>
                </c:pt>
                <c:pt idx="23">
                  <c:v>-36.0282263373565</c:v>
                </c:pt>
                <c:pt idx="24">
                  <c:v>-41.302883176002979</c:v>
                </c:pt>
                <c:pt idx="25">
                  <c:v>-47.121067931018501</c:v>
                </c:pt>
                <c:pt idx="26">
                  <c:v>-53.501131761153303</c:v>
                </c:pt>
                <c:pt idx="27">
                  <c:v>-60.456015083671502</c:v>
                </c:pt>
                <c:pt idx="28">
                  <c:v>-67.992369449030818</c:v>
                </c:pt>
                <c:pt idx="29">
                  <c:v>-76.109722517145599</c:v>
                </c:pt>
                <c:pt idx="30">
                  <c:v>-84.799712922606375</c:v>
                </c:pt>
                <c:pt idx="31">
                  <c:v>-94.04542224297947</c:v>
                </c:pt>
                <c:pt idx="32">
                  <c:v>-103.8208307898535</c:v>
                </c:pt>
                <c:pt idx="33">
                  <c:v>-114.0904224695684</c:v>
                </c:pt>
                <c:pt idx="34">
                  <c:v>-124.80896149096509</c:v>
                </c:pt>
                <c:pt idx="35">
                  <c:v>-135.92146025417244</c:v>
                </c:pt>
                <c:pt idx="36">
                  <c:v>-147.36335340426143</c:v>
                </c:pt>
                <c:pt idx="37">
                  <c:v>-159.06088788613511</c:v>
                </c:pt>
                <c:pt idx="38">
                  <c:v>-170.93173304235324</c:v>
                </c:pt>
                <c:pt idx="39">
                  <c:v>-182.88580853879236</c:v>
                </c:pt>
                <c:pt idx="40">
                  <c:v>-194.8263213977734</c:v>
                </c:pt>
                <c:pt idx="41">
                  <c:v>-206.65099689763133</c:v>
                </c:pt>
                <c:pt idx="42">
                  <c:v>-218.25348180463163</c:v>
                </c:pt>
                <c:pt idx="43">
                  <c:v>-229.524892579648</c:v>
                </c:pt>
                <c:pt idx="44">
                  <c:v>-240.35547607789732</c:v>
                </c:pt>
                <c:pt idx="45">
                  <c:v>-250.63634604283993</c:v>
                </c:pt>
                <c:pt idx="46">
                  <c:v>-260.26125555998954</c:v>
                </c:pt>
                <c:pt idx="47">
                  <c:v>-269.1283637173857</c:v>
                </c:pt>
                <c:pt idx="48">
                  <c:v>-277.14195410426117</c:v>
                </c:pt>
                <c:pt idx="49">
                  <c:v>-284.21406350432125</c:v>
                </c:pt>
                <c:pt idx="50">
                  <c:v>-290.26598118831618</c:v>
                </c:pt>
                <c:pt idx="51">
                  <c:v>-295.22958251339634</c:v>
                </c:pt>
                <c:pt idx="52">
                  <c:v>-299.04846497635833</c:v>
                </c:pt>
                <c:pt idx="53">
                  <c:v>-301.67886028288791</c:v>
                </c:pt>
                <c:pt idx="54">
                  <c:v>-303.09030218809323</c:v>
                </c:pt>
                <c:pt idx="55">
                  <c:v>-303.26603661041054</c:v>
                </c:pt>
                <c:pt idx="56">
                  <c:v>-302.20316757993453</c:v>
                </c:pt>
                <c:pt idx="57">
                  <c:v>-299.91253970522223</c:v>
                </c:pt>
                <c:pt idx="58">
                  <c:v>-296.41836478561481</c:v>
                </c:pt>
                <c:pt idx="59">
                  <c:v>-291.75760672899736</c:v>
                </c:pt>
                <c:pt idx="60">
                  <c:v>-285.97914485057004</c:v>
                </c:pt>
                <c:pt idx="61">
                  <c:v>-279.1427407501568</c:v>
                </c:pt>
                <c:pt idx="62">
                  <c:v>-271.31783815385177</c:v>
                </c:pt>
                <c:pt idx="63">
                  <c:v>-262.58222826095982</c:v>
                </c:pt>
                <c:pt idx="64">
                  <c:v>-253.02061520237305</c:v>
                </c:pt>
                <c:pt idx="65">
                  <c:v>-242.7231171774896</c:v>
                </c:pt>
                <c:pt idx="66">
                  <c:v>-231.78373872006341</c:v>
                </c:pt>
                <c:pt idx="67">
                  <c:v>-220.29884841289743</c:v>
                </c:pt>
                <c:pt idx="68">
                  <c:v>-208.36569432338388</c:v>
                </c:pt>
                <c:pt idx="69">
                  <c:v>-196.08098658952167</c:v>
                </c:pt>
                <c:pt idx="70">
                  <c:v>-183.53957309200882</c:v>
                </c:pt>
                <c:pt idx="71">
                  <c:v>-170.83323015808253</c:v>
                </c:pt>
                <c:pt idx="72">
                  <c:v>-158.04958591867035</c:v>
                </c:pt>
                <c:pt idx="73">
                  <c:v>-145.27118944302242</c:v>
                </c:pt>
                <c:pt idx="74">
                  <c:v>-132.57473425839328</c:v>
                </c:pt>
                <c:pt idx="75">
                  <c:v>-120.03044046848106</c:v>
                </c:pt>
                <c:pt idx="76">
                  <c:v>-107.70159553864653</c:v>
                </c:pt>
                <c:pt idx="77">
                  <c:v>-95.644250024262078</c:v>
                </c:pt>
                <c:pt idx="78">
                  <c:v>-83.907061164866832</c:v>
                </c:pt>
                <c:pt idx="79">
                  <c:v>-72.531274412267521</c:v>
                </c:pt>
                <c:pt idx="80">
                  <c:v>-61.5508306437074</c:v>
                </c:pt>
                <c:pt idx="81">
                  <c:v>-50.992585048209889</c:v>
                </c:pt>
                <c:pt idx="82">
                  <c:v>-40.876622461396892</c:v>
                </c:pt>
                <c:pt idx="83">
                  <c:v>-31.216653239968423</c:v>
                </c:pt>
                <c:pt idx="84">
                  <c:v>-22.020473574875723</c:v>
                </c:pt>
                <c:pt idx="85">
                  <c:v>-13.290474393319641</c:v>
                </c:pt>
                <c:pt idx="86">
                  <c:v>-5.0241836364232313</c:v>
                </c:pt>
                <c:pt idx="87">
                  <c:v>2.7851723416090408</c:v>
                </c:pt>
                <c:pt idx="88">
                  <c:v>10.148101292000774</c:v>
                </c:pt>
                <c:pt idx="89">
                  <c:v>17.078283141962402</c:v>
                </c:pt>
                <c:pt idx="90">
                  <c:v>23.592023721129522</c:v>
                </c:pt>
                <c:pt idx="91">
                  <c:v>29.707732651299921</c:v>
                </c:pt>
                <c:pt idx="92">
                  <c:v>35.445432298623246</c:v>
                </c:pt>
                <c:pt idx="93">
                  <c:v>40.826303114592974</c:v>
                </c:pt>
                <c:pt idx="94">
                  <c:v>45.872269194511205</c:v>
                </c:pt>
                <c:pt idx="95">
                  <c:v>50.605626491388762</c:v>
                </c:pt>
                <c:pt idx="96">
                  <c:v>55.048714863579221</c:v>
                </c:pt>
                <c:pt idx="97">
                  <c:v>59.223634022295869</c:v>
                </c:pt>
                <c:pt idx="98">
                  <c:v>63.152002490116161</c:v>
                </c:pt>
                <c:pt idx="99">
                  <c:v>66.854757886953735</c:v>
                </c:pt>
                <c:pt idx="100">
                  <c:v>70.351996223667697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AD-43B5-BD22-8021DB6A032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Greeks_B76!$AD$12:$AD$112</c:f>
              <c:numCache>
                <c:formatCode>General</c:formatCode>
                <c:ptCount val="101"/>
                <c:pt idx="0">
                  <c:v>-0.36753795145026674</c:v>
                </c:pt>
                <c:pt idx="1">
                  <c:v>-0.47621134234877371</c:v>
                </c:pt>
                <c:pt idx="2">
                  <c:v>-0.61344413186538982</c:v>
                </c:pt>
                <c:pt idx="3">
                  <c:v>-0.78568497957183858</c:v>
                </c:pt>
                <c:pt idx="4">
                  <c:v>-1.0005533181965909</c:v>
                </c:pt>
                <c:pt idx="5">
                  <c:v>-1.2669817465847086</c:v>
                </c:pt>
                <c:pt idx="6">
                  <c:v>-1.5953595812226302</c:v>
                </c:pt>
                <c:pt idx="7">
                  <c:v>-1.9976733475260651</c:v>
                </c:pt>
                <c:pt idx="8">
                  <c:v>-2.4876391191696174</c:v>
                </c:pt>
                <c:pt idx="9">
                  <c:v>-3.0808207545281117</c:v>
                </c:pt>
                <c:pt idx="10">
                  <c:v>-3.7947272762895374</c:v>
                </c:pt>
                <c:pt idx="11">
                  <c:v>-4.648881941924607</c:v>
                </c:pt>
                <c:pt idx="12">
                  <c:v>-5.6648550118343639</c:v>
                </c:pt>
                <c:pt idx="13">
                  <c:v>-6.866251893896675</c:v>
                </c:pt>
                <c:pt idx="14">
                  <c:v>-8.2786482828385601</c:v>
                </c:pt>
                <c:pt idx="15">
                  <c:v>-9.9294641721736845</c:v>
                </c:pt>
                <c:pt idx="16">
                  <c:v>-11.847769240560877</c:v>
                </c:pt>
                <c:pt idx="17">
                  <c:v>-14.06401313841841</c:v>
                </c:pt>
                <c:pt idx="18">
                  <c:v>-16.609675645890515</c:v>
                </c:pt>
                <c:pt idx="19">
                  <c:v>-19.516833544334858</c:v>
                </c:pt>
                <c:pt idx="20">
                  <c:v>-22.817643325242784</c:v>
                </c:pt>
                <c:pt idx="21">
                  <c:v>-26.543741516101225</c:v>
                </c:pt>
                <c:pt idx="22">
                  <c:v>-30.725567372556103</c:v>
                </c:pt>
                <c:pt idx="23">
                  <c:v>-35.391615888016545</c:v>
                </c:pt>
                <c:pt idx="24">
                  <c:v>-40.567632401906351</c:v>
                </c:pt>
                <c:pt idx="25">
                  <c:v>-46.275763423690066</c:v>
                </c:pt>
                <c:pt idx="26">
                  <c:v>-52.533681494621746</c:v>
                </c:pt>
                <c:pt idx="27">
                  <c:v>-59.353704836402628</c:v>
                </c:pt>
                <c:pt idx="28">
                  <c:v>-66.741935036135345</c:v>
                </c:pt>
                <c:pt idx="29">
                  <c:v>-74.697437944657565</c:v>
                </c:pt>
                <c:pt idx="30">
                  <c:v>-83.211494186687162</c:v>
                </c:pt>
                <c:pt idx="31">
                  <c:v>-92.266946081503818</c:v>
                </c:pt>
                <c:pt idx="32">
                  <c:v>-101.83766726390083</c:v>
                </c:pt>
                <c:pt idx="33">
                  <c:v>-111.888179821267</c:v>
                </c:pt>
                <c:pt idx="34">
                  <c:v>-122.37344130632681</c:v>
                </c:pt>
                <c:pt idx="35">
                  <c:v>-133.23882056987313</c:v>
                </c:pt>
                <c:pt idx="36">
                  <c:v>-144.42027705050549</c:v>
                </c:pt>
                <c:pt idx="37">
                  <c:v>-155.84475306776511</c:v>
                </c:pt>
                <c:pt idx="38">
                  <c:v>-167.43078293982569</c:v>
                </c:pt>
                <c:pt idx="39">
                  <c:v>-179.08931657017283</c:v>
                </c:pt>
                <c:pt idx="40">
                  <c:v>-190.72474873065332</c:v>
                </c:pt>
                <c:pt idx="41">
                  <c:v>-202.23613884106976</c:v>
                </c:pt>
                <c:pt idx="42">
                  <c:v>-213.51859984789377</c:v>
                </c:pt>
                <c:pt idx="43">
                  <c:v>-224.46482907524893</c:v>
                </c:pt>
                <c:pt idx="44">
                  <c:v>-234.96674888646589</c:v>
                </c:pt>
                <c:pt idx="45">
                  <c:v>-244.91722085846425</c:v>
                </c:pt>
                <c:pt idx="46">
                  <c:v>-254.21179410584679</c:v>
                </c:pt>
                <c:pt idx="47">
                  <c:v>-262.7504465288207</c:v>
                </c:pt>
                <c:pt idx="48">
                  <c:v>-270.43927718417109</c:v>
                </c:pt>
                <c:pt idx="49">
                  <c:v>-277.19210872636512</c:v>
                </c:pt>
                <c:pt idx="50">
                  <c:v>-282.9319609188986</c:v>
                </c:pt>
                <c:pt idx="51">
                  <c:v>-287.59235950530473</c:v>
                </c:pt>
                <c:pt idx="52">
                  <c:v>-291.11844913765708</c:v>
                </c:pt>
                <c:pt idx="53">
                  <c:v>-293.46788442779092</c:v>
                </c:pt>
                <c:pt idx="54">
                  <c:v>-294.61147931750554</c:v>
                </c:pt>
                <c:pt idx="55">
                  <c:v>-294.53360163651223</c:v>
                </c:pt>
                <c:pt idx="56">
                  <c:v>-293.23230669222323</c:v>
                </c:pt>
                <c:pt idx="57">
                  <c:v>-290.71921076855085</c:v>
                </c:pt>
                <c:pt idx="58">
                  <c:v>-287.01911226088862</c:v>
                </c:pt>
                <c:pt idx="59">
                  <c:v>-282.16937461444633</c:v>
                </c:pt>
                <c:pt idx="60">
                  <c:v>-276.21909105911175</c:v>
                </c:pt>
                <c:pt idx="61">
                  <c:v>-269.22805617233234</c:v>
                </c:pt>
                <c:pt idx="62">
                  <c:v>-261.26557341467799</c:v>
                </c:pt>
                <c:pt idx="63">
                  <c:v>-252.40913087334877</c:v>
                </c:pt>
                <c:pt idx="64">
                  <c:v>-242.74297946163676</c:v>
                </c:pt>
                <c:pt idx="65">
                  <c:v>-232.35664874401562</c:v>
                </c:pt>
                <c:pt idx="66">
                  <c:v>-221.34343541414751</c:v>
                </c:pt>
                <c:pt idx="67">
                  <c:v>-209.79889831056528</c:v>
                </c:pt>
                <c:pt idx="68">
                  <c:v>-197.81939180792745</c:v>
                </c:pt>
                <c:pt idx="69">
                  <c:v>-185.50066659258925</c:v>
                </c:pt>
                <c:pt idx="70">
                  <c:v>-172.9365633612797</c:v>
                </c:pt>
                <c:pt idx="71">
                  <c:v>-160.21782102514214</c:v>
                </c:pt>
                <c:pt idx="72">
                  <c:v>-147.43101671817431</c:v>
                </c:pt>
                <c:pt idx="73">
                  <c:v>-134.65765045823582</c:v>
                </c:pt>
                <c:pt idx="74">
                  <c:v>-121.9733828424113</c:v>
                </c:pt>
                <c:pt idx="75">
                  <c:v>-109.44742981669538</c:v>
                </c:pt>
                <c:pt idx="76">
                  <c:v>-97.142114466374892</c:v>
                </c:pt>
                <c:pt idx="77">
                  <c:v>-85.112572032353683</c:v>
                </c:pt>
                <c:pt idx="78">
                  <c:v>-73.406601052577116</c:v>
                </c:pt>
                <c:pt idx="79">
                  <c:v>-62.064650716681854</c:v>
                </c:pt>
                <c:pt idx="80">
                  <c:v>-51.119932243479411</c:v>
                </c:pt>
                <c:pt idx="81">
                  <c:v>-40.598640360737591</c:v>
                </c:pt>
                <c:pt idx="82">
                  <c:v>-30.520269780803687</c:v>
                </c:pt>
                <c:pt idx="83">
                  <c:v>-20.898010902238866</c:v>
                </c:pt>
                <c:pt idx="84">
                  <c:v>-11.739208790174303</c:v>
                </c:pt>
                <c:pt idx="85">
                  <c:v>-3.0458697481249146</c:v>
                </c:pt>
                <c:pt idx="86">
                  <c:v>5.1847995657093406</c:v>
                </c:pt>
                <c:pt idx="87">
                  <c:v>12.959834566871336</c:v>
                </c:pt>
                <c:pt idx="88">
                  <c:v>20.289949597363034</c:v>
                </c:pt>
                <c:pt idx="89">
                  <c:v>27.188980686250488</c:v>
                </c:pt>
                <c:pt idx="90">
                  <c:v>33.673344182805863</c:v>
                </c:pt>
                <c:pt idx="91">
                  <c:v>39.761519644047894</c:v>
                </c:pt>
                <c:pt idx="92">
                  <c:v>45.473563765290692</c:v>
                </c:pt>
                <c:pt idx="93">
                  <c:v>50.83066058526822</c:v>
                </c:pt>
                <c:pt idx="94">
                  <c:v>55.854711715691792</c:v>
                </c:pt>
                <c:pt idx="95">
                  <c:v>60.56796897004881</c:v>
                </c:pt>
                <c:pt idx="96">
                  <c:v>64.992710521786876</c:v>
                </c:pt>
                <c:pt idx="97">
                  <c:v>69.150960623840319</c:v>
                </c:pt>
                <c:pt idx="98">
                  <c:v>73.064251979134156</c:v>
                </c:pt>
                <c:pt idx="99">
                  <c:v>76.75342906837966</c:v>
                </c:pt>
                <c:pt idx="100">
                  <c:v>80.238490114960427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AD-43B5-BD22-8021DB6A0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Rho</a:t>
            </a:r>
            <a:r>
              <a:rPr lang="en-US" altLang="ja-JP" baseline="0"/>
              <a:t> Call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ITM</c:v>
          </c:tx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Greeks_B76!$AE$12:$AE$112</c:f>
              <c:numCache>
                <c:formatCode>General</c:formatCode>
                <c:ptCount val="101"/>
                <c:pt idx="0">
                  <c:v>-5391.1399731387719</c:v>
                </c:pt>
                <c:pt idx="1">
                  <c:v>-5391.1376827725589</c:v>
                </c:pt>
                <c:pt idx="2">
                  <c:v>-5391.129097308456</c:v>
                </c:pt>
                <c:pt idx="3">
                  <c:v>-5391.1109244418512</c:v>
                </c:pt>
                <c:pt idx="4">
                  <c:v>-5391.0786934336038</c:v>
                </c:pt>
                <c:pt idx="5">
                  <c:v>-5391.0264362130592</c:v>
                </c:pt>
                <c:pt idx="6">
                  <c:v>-5390.9463060504659</c:v>
                </c:pt>
                <c:pt idx="7">
                  <c:v>-5390.8281272250388</c:v>
                </c:pt>
                <c:pt idx="8">
                  <c:v>-5390.6588697837615</c:v>
                </c:pt>
                <c:pt idx="9">
                  <c:v>-5390.4220445706087</c:v>
                </c:pt>
                <c:pt idx="10">
                  <c:v>-5390.0970152613809</c:v>
                </c:pt>
                <c:pt idx="11">
                  <c:v>-5389.6582262074489</c:v>
                </c:pt>
                <c:pt idx="12">
                  <c:v>-5389.0743474983547</c:v>
                </c:pt>
                <c:pt idx="13">
                  <c:v>-5388.3073418043905</c:v>
                </c:pt>
                <c:pt idx="14">
                  <c:v>-5387.3114612345989</c:v>
                </c:pt>
                <c:pt idx="15">
                  <c:v>-5386.0321865929964</c:v>
                </c:pt>
                <c:pt idx="16">
                  <c:v>-5384.4051259537036</c:v>
                </c:pt>
                <c:pt idx="17">
                  <c:v>-5382.3548942842881</c:v>
                </c:pt>
                <c:pt idx="18">
                  <c:v>-5379.794000774541</c:v>
                </c:pt>
                <c:pt idx="19">
                  <c:v>-5376.6217753883611</c:v>
                </c:pt>
                <c:pt idx="20">
                  <c:v>-5372.7233707337973</c:v>
                </c:pt>
                <c:pt idx="21">
                  <c:v>-5367.9688794034673</c:v>
                </c:pt>
                <c:pt idx="22">
                  <c:v>-5362.2126102222956</c:v>
                </c:pt>
                <c:pt idx="23">
                  <c:v>-5355.2925690951361</c:v>
                </c:pt>
                <c:pt idx="24">
                  <c:v>-5347.0301911281149</c:v>
                </c:pt>
                <c:pt idx="25">
                  <c:v>-5337.2303701779374</c:v>
                </c:pt>
                <c:pt idx="26">
                  <c:v>-5325.6818297760465</c:v>
                </c:pt>
                <c:pt idx="27">
                  <c:v>-5312.1578753396434</c:v>
                </c:pt>
                <c:pt idx="28">
                  <c:v>-5296.4175616456951</c:v>
                </c:pt>
                <c:pt idx="29">
                  <c:v>-5278.2073017039138</c:v>
                </c:pt>
                <c:pt idx="30">
                  <c:v>-5257.2629335027723</c:v>
                </c:pt>
                <c:pt idx="31">
                  <c:v>-5233.3122497860841</c:v>
                </c:pt>
                <c:pt idx="32">
                  <c:v>-5206.077983301835</c:v>
                </c:pt>
                <c:pt idx="33">
                  <c:v>-5175.2812261907429</c:v>
                </c:pt>
                <c:pt idx="34">
                  <c:v>-5140.6452477629582</c:v>
                </c:pt>
                <c:pt idx="35">
                  <c:v>-5101.8996603275509</c:v>
                </c:pt>
                <c:pt idx="36">
                  <c:v>-5058.7848685138943</c:v>
                </c:pt>
                <c:pt idx="37">
                  <c:v>-5011.0567242064826</c:v>
                </c:pt>
                <c:pt idx="38">
                  <c:v>-4958.4912973575538</c:v>
                </c:pt>
                <c:pt idx="39">
                  <c:v>-4900.8896630736144</c:v>
                </c:pt>
                <c:pt idx="40">
                  <c:v>-4838.0825979748643</c:v>
                </c:pt>
                <c:pt idx="41">
                  <c:v>-4769.9350743117893</c:v>
                </c:pt>
                <c:pt idx="42">
                  <c:v>-4696.3504390073358</c:v>
                </c:pt>
                <c:pt idx="43">
                  <c:v>-4617.2741668835306</c:v>
                </c:pt>
                <c:pt idx="44">
                  <c:v>-4532.6970829097118</c:v>
                </c:pt>
                <c:pt idx="45">
                  <c:v>-4442.6579573250765</c:v>
                </c:pt>
                <c:pt idx="46">
                  <c:v>-4347.2453897553805</c:v>
                </c:pt>
                <c:pt idx="47">
                  <c:v>-4246.5989136474509</c:v>
                </c:pt>
                <c:pt idx="48">
                  <c:v>-4140.9092700491101</c:v>
                </c:pt>
                <c:pt idx="49">
                  <c:v>-4030.4178194269634</c:v>
                </c:pt>
                <c:pt idx="50">
                  <c:v>-3915.415081218353</c:v>
                </c:pt>
                <c:pt idx="51">
                  <c:v>-3796.2384124757245</c:v>
                </c:pt>
                <c:pt idx="52">
                  <c:v>-3673.268858571977</c:v>
                </c:pt>
                <c:pt idx="53">
                  <c:v>-3546.927229783566</c:v>
                </c:pt>
                <c:pt idx="54">
                  <c:v>-3417.6694769694927</c:v>
                </c:pt>
                <c:pt idx="55">
                  <c:v>-3285.9814568937777</c:v>
                </c:pt>
                <c:pt idx="56">
                  <c:v>-3152.3731924466333</c:v>
                </c:pt>
                <c:pt idx="57">
                  <c:v>-3017.3727446615826</c:v>
                </c:pt>
                <c:pt idx="58">
                  <c:v>-2881.519821670794</c:v>
                </c:pt>
                <c:pt idx="59">
                  <c:v>-2745.3592543886261</c:v>
                </c:pt>
                <c:pt idx="60">
                  <c:v>-2609.4344696928583</c:v>
                </c:pt>
                <c:pt idx="61">
                  <c:v>-2474.2810892457951</c:v>
                </c:pt>
                <c:pt idx="62">
                  <c:v>-2340.4207760490622</c:v>
                </c:pt>
                <c:pt idx="63">
                  <c:v>-2208.3554416536304</c:v>
                </c:pt>
                <c:pt idx="64">
                  <c:v>-2078.5619150451284</c:v>
                </c:pt>
                <c:pt idx="65">
                  <c:v>-1951.4871600660472</c:v>
                </c:pt>
                <c:pt idx="66">
                  <c:v>-1827.5441123473402</c:v>
                </c:pt>
                <c:pt idx="67">
                  <c:v>-1707.1081896640187</c:v>
                </c:pt>
                <c:pt idx="68">
                  <c:v>-1590.514511972058</c:v>
                </c:pt>
                <c:pt idx="69">
                  <c:v>-1478.0558496874462</c:v>
                </c:pt>
                <c:pt idx="70">
                  <c:v>-1369.9813015591817</c:v>
                </c:pt>
                <c:pt idx="71">
                  <c:v>-1266.495687245133</c:v>
                </c:pt>
                <c:pt idx="72">
                  <c:v>-1167.7596248381685</c:v>
                </c:pt>
                <c:pt idx="73">
                  <c:v>-1073.8902504507771</c:v>
                </c:pt>
                <c:pt idx="74">
                  <c:v>-984.96252581017188</c:v>
                </c:pt>
                <c:pt idx="75">
                  <c:v>-901.01107081913449</c:v>
                </c:pt>
                <c:pt idx="76">
                  <c:v>-822.03245129340041</c:v>
                </c:pt>
                <c:pt idx="77">
                  <c:v>-747.98784760759463</c:v>
                </c:pt>
                <c:pt idx="78">
                  <c:v>-678.80602770843507</c:v>
                </c:pt>
                <c:pt idx="79">
                  <c:v>-614.38654776083797</c:v>
                </c:pt>
                <c:pt idx="80">
                  <c:v>-554.60310540092598</c:v>
                </c:pt>
                <c:pt idx="81">
                  <c:v>-499.30697395730249</c:v>
                </c:pt>
                <c:pt idx="82">
                  <c:v>-448.33045081557924</c:v>
                </c:pt>
                <c:pt idx="83">
                  <c:v>-401.4902590684593</c:v>
                </c:pt>
                <c:pt idx="84">
                  <c:v>-358.59084843545622</c:v>
                </c:pt>
                <c:pt idx="85">
                  <c:v>-319.42754887469511</c:v>
                </c:pt>
                <c:pt idx="86">
                  <c:v>-283.7895380791557</c:v>
                </c:pt>
                <c:pt idx="87">
                  <c:v>-251.46259190493984</c:v>
                </c:pt>
                <c:pt idx="88">
                  <c:v>-222.23159449900604</c:v>
                </c:pt>
                <c:pt idx="89">
                  <c:v>-195.88279228736127</c:v>
                </c:pt>
                <c:pt idx="90">
                  <c:v>-172.2057828937796</c:v>
                </c:pt>
                <c:pt idx="91">
                  <c:v>-150.99523635877068</c:v>
                </c:pt>
                <c:pt idx="92">
                  <c:v>-132.0523516279836</c:v>
                </c:pt>
                <c:pt idx="93">
                  <c:v>-115.18605611938486</c:v>
                </c:pt>
                <c:pt idx="94">
                  <c:v>-100.21396023058264</c:v>
                </c:pt>
                <c:pt idx="95">
                  <c:v>-86.963081909427984</c:v>
                </c:pt>
                <c:pt idx="96">
                  <c:v>-75.27035890339701</c:v>
                </c:pt>
                <c:pt idx="97">
                  <c:v>-64.982968066914054</c:v>
                </c:pt>
                <c:pt idx="98">
                  <c:v>-55.958472196045797</c:v>
                </c:pt>
                <c:pt idx="99">
                  <c:v>-48.064815344144762</c:v>
                </c:pt>
                <c:pt idx="100">
                  <c:v>-41.18018752428231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E5C-405A-9263-AFE0C99007B0}"/>
            </c:ext>
          </c:extLst>
        </c:ser>
        <c:ser>
          <c:idx val="2"/>
          <c:order val="1"/>
          <c:tx>
            <c:v>ATM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Greeks_B76!$AF$12:$AF$112</c:f>
              <c:numCache>
                <c:formatCode>General</c:formatCode>
                <c:ptCount val="101"/>
                <c:pt idx="0">
                  <c:v>-4901.1546702267697</c:v>
                </c:pt>
                <c:pt idx="1">
                  <c:v>-4901.1480349028598</c:v>
                </c:pt>
                <c:pt idx="2">
                  <c:v>-4901.1236494142886</c:v>
                </c:pt>
                <c:pt idx="3">
                  <c:v>-4901.0731337729367</c:v>
                </c:pt>
                <c:pt idx="4">
                  <c:v>-4900.9854701445111</c:v>
                </c:pt>
                <c:pt idx="5">
                  <c:v>-4900.8464038218481</c:v>
                </c:pt>
                <c:pt idx="6">
                  <c:v>-4900.6377576882333</c:v>
                </c:pt>
                <c:pt idx="7">
                  <c:v>-4900.3366586164566</c:v>
                </c:pt>
                <c:pt idx="8">
                  <c:v>-4899.914677027662</c:v>
                </c:pt>
                <c:pt idx="9">
                  <c:v>-4899.336884205215</c:v>
                </c:pt>
                <c:pt idx="10">
                  <c:v>-4898.5608358982481</c:v>
                </c:pt>
                <c:pt idx="11">
                  <c:v>-4897.5354951995387</c:v>
                </c:pt>
                <c:pt idx="12">
                  <c:v>-4896.2001125475226</c:v>
                </c:pt>
                <c:pt idx="13">
                  <c:v>-4894.4830858481837</c:v>
                </c:pt>
                <c:pt idx="14">
                  <c:v>-4892.3008289672271</c:v>
                </c:pt>
                <c:pt idx="15">
                  <c:v>-4889.5566819962496</c:v>
                </c:pt>
                <c:pt idx="16">
                  <c:v>-4886.1399015090656</c:v>
                </c:pt>
                <c:pt idx="17">
                  <c:v>-4881.9247732318363</c:v>
                </c:pt>
                <c:pt idx="18">
                  <c:v>-4876.7698928763521</c:v>
                </c:pt>
                <c:pt idx="19">
                  <c:v>-4870.5176630506485</c:v>
                </c:pt>
                <c:pt idx="20">
                  <c:v>-4862.9940549018102</c:v>
                </c:pt>
                <c:pt idx="21">
                  <c:v>-4854.0086822243884</c:v>
                </c:pt>
                <c:pt idx="22">
                  <c:v>-4843.3552329934428</c:v>
                </c:pt>
                <c:pt idx="23">
                  <c:v>-4830.8122985219261</c:v>
                </c:pt>
                <c:pt idx="24">
                  <c:v>-4816.1446336378567</c:v>
                </c:pt>
                <c:pt idx="25">
                  <c:v>-4799.1048724553993</c:v>
                </c:pt>
                <c:pt idx="26">
                  <c:v>-4779.4357135923647</c:v>
                </c:pt>
                <c:pt idx="27">
                  <c:v>-4756.8725762818312</c:v>
                </c:pt>
                <c:pt idx="28">
                  <c:v>-4731.1467150460967</c:v>
                </c:pt>
                <c:pt idx="29">
                  <c:v>-4701.9887658489979</c:v>
                </c:pt>
                <c:pt idx="30">
                  <c:v>-4669.1326813934538</c:v>
                </c:pt>
                <c:pt idx="31">
                  <c:v>-4632.3199980260188</c:v>
                </c:pt>
                <c:pt idx="32">
                  <c:v>-4591.3043621279849</c:v>
                </c:pt>
                <c:pt idx="33">
                  <c:v>-4545.8562305112819</c:v>
                </c:pt>
                <c:pt idx="34">
                  <c:v>-4495.7676477830182</c:v>
                </c:pt>
                <c:pt idx="35">
                  <c:v>-4440.8569944446554</c:v>
                </c:pt>
                <c:pt idx="36">
                  <c:v>-4380.9735931350588</c:v>
                </c:pt>
                <c:pt idx="37">
                  <c:v>-4316.0020573041575</c:v>
                </c:pt>
                <c:pt idx="38">
                  <c:v>-4245.8662669983551</c:v>
                </c:pt>
                <c:pt idx="39">
                  <c:v>-4170.5328605009436</c:v>
                </c:pt>
                <c:pt idx="40">
                  <c:v>-4090.0141383119872</c:v>
                </c:pt>
                <c:pt idx="41">
                  <c:v>-4004.3702872358726</c:v>
                </c:pt>
                <c:pt idx="42">
                  <c:v>-3913.7108468906713</c:v>
                </c:pt>
                <c:pt idx="43">
                  <c:v>-3818.1953583452455</c:v>
                </c:pt>
                <c:pt idx="44">
                  <c:v>-3718.0331542902663</c:v>
                </c:pt>
                <c:pt idx="45">
                  <c:v>-3613.4822715230534</c:v>
                </c:pt>
                <c:pt idx="46">
                  <c:v>-3504.8474888634782</c:v>
                </c:pt>
                <c:pt idx="47">
                  <c:v>-3392.477516167914</c:v>
                </c:pt>
                <c:pt idx="48">
                  <c:v>-3276.7613821063565</c:v>
                </c:pt>
                <c:pt idx="49">
                  <c:v>-3158.1240890715681</c:v>
                </c:pt>
                <c:pt idx="50">
                  <c:v>-3037.0216223068237</c:v>
                </c:pt>
                <c:pt idx="51">
                  <c:v>-2913.9354164586975</c:v>
                </c:pt>
                <c:pt idx="52">
                  <c:v>-2789.3663957753852</c:v>
                </c:pt>
                <c:pt idx="53">
                  <c:v>-2663.8287136928493</c:v>
                </c:pt>
                <c:pt idx="54">
                  <c:v>-2537.8433233325809</c:v>
                </c:pt>
                <c:pt idx="55">
                  <c:v>-2411.9315123661163</c:v>
                </c:pt>
                <c:pt idx="56">
                  <c:v>-2286.6085338192506</c:v>
                </c:pt>
                <c:pt idx="57">
                  <c:v>-2162.3774588634215</c:v>
                </c:pt>
                <c:pt idx="58">
                  <c:v>-2039.7233687680052</c:v>
                </c:pt>
                <c:pt idx="59">
                  <c:v>-1919.1079913691945</c:v>
                </c:pt>
                <c:pt idx="60">
                  <c:v>-1800.9648731377517</c:v>
                </c:pt>
                <c:pt idx="61">
                  <c:v>-1685.6951617539851</c:v>
                </c:pt>
                <c:pt idx="62">
                  <c:v>-1573.6640566155554</c:v>
                </c:pt>
                <c:pt idx="63">
                  <c:v>-1465.1979665196266</c:v>
                </c:pt>
                <c:pt idx="64">
                  <c:v>-1360.5823954716925</c:v>
                </c:pt>
                <c:pt idx="65">
                  <c:v>-1260.0605597435256</c:v>
                </c:pt>
                <c:pt idx="66">
                  <c:v>-1163.8327224451061</c:v>
                </c:pt>
                <c:pt idx="67">
                  <c:v>-1072.0562164358018</c:v>
                </c:pt>
                <c:pt idx="68">
                  <c:v>-984.8461127451319</c:v>
                </c:pt>
                <c:pt idx="69">
                  <c:v>-902.27648008267226</c:v>
                </c:pt>
                <c:pt idx="70">
                  <c:v>-824.3821716803111</c:v>
                </c:pt>
                <c:pt idx="71">
                  <c:v>-751.16106872715579</c:v>
                </c:pt>
                <c:pt idx="72">
                  <c:v>-682.57670504220118</c:v>
                </c:pt>
                <c:pt idx="73">
                  <c:v>-618.56119531735396</c:v>
                </c:pt>
                <c:pt idx="74">
                  <c:v>-559.01838911940979</c:v>
                </c:pt>
                <c:pt idx="75">
                  <c:v>-503.82717467196233</c:v>
                </c:pt>
                <c:pt idx="76">
                  <c:v>-452.84486000995508</c:v>
                </c:pt>
                <c:pt idx="77">
                  <c:v>-405.91056414034557</c:v>
                </c:pt>
                <c:pt idx="78">
                  <c:v>-362.84855706356893</c:v>
                </c:pt>
                <c:pt idx="79">
                  <c:v>-323.4714946155118</c:v>
                </c:pt>
                <c:pt idx="80">
                  <c:v>-287.58350178594441</c:v>
                </c:pt>
                <c:pt idx="81">
                  <c:v>-254.98306617858495</c:v>
                </c:pt>
                <c:pt idx="82">
                  <c:v>-225.46571134289948</c:v>
                </c:pt>
                <c:pt idx="83">
                  <c:v>-198.82642759955769</c:v>
                </c:pt>
                <c:pt idx="84">
                  <c:v>-174.8618455041877</c:v>
                </c:pt>
                <c:pt idx="85">
                  <c:v>-153.37214408602313</c:v>
                </c:pt>
                <c:pt idx="86">
                  <c:v>-134.16269233496985</c:v>
                </c:pt>
                <c:pt idx="87">
                  <c:v>-117.04542800277807</c:v>
                </c:pt>
                <c:pt idx="88">
                  <c:v>-101.83998257684004</c:v>
                </c:pt>
                <c:pt idx="89">
                  <c:v>-88.374565254533934</c:v>
                </c:pt>
                <c:pt idx="90">
                  <c:v>-76.486621896216192</c:v>
                </c:pt>
                <c:pt idx="91">
                  <c:v>-66.023287293844248</c:v>
                </c:pt>
                <c:pt idx="92">
                  <c:v>-56.841650706990052</c:v>
                </c:pt>
                <c:pt idx="93">
                  <c:v>-48.808855551434704</c:v>
                </c:pt>
                <c:pt idx="94">
                  <c:v>-41.802054450817167</c:v>
                </c:pt>
                <c:pt idx="95">
                  <c:v>-35.7082406593683</c:v>
                </c:pt>
                <c:pt idx="96">
                  <c:v>-30.423976217015799</c:v>
                </c:pt>
                <c:pt idx="97">
                  <c:v>-25.855036190735724</c:v>
                </c:pt>
                <c:pt idx="98">
                  <c:v>-21.915987068932438</c:v>
                </c:pt>
                <c:pt idx="99">
                  <c:v>-18.529715885004869</c:v>
                </c:pt>
                <c:pt idx="100">
                  <c:v>-15.626925022015062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E5C-405A-9263-AFE0C99007B0}"/>
            </c:ext>
          </c:extLst>
        </c:ser>
        <c:ser>
          <c:idx val="0"/>
          <c:order val="2"/>
          <c:tx>
            <c:v>OTM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Greeks_B76!$AG$12:$AG$112</c:f>
              <c:numCache>
                <c:formatCode>General</c:formatCode>
                <c:ptCount val="101"/>
                <c:pt idx="0">
                  <c:v>-4411.4059795534959</c:v>
                </c:pt>
                <c:pt idx="1">
                  <c:v>-4411.388320767639</c:v>
                </c:pt>
                <c:pt idx="2">
                  <c:v>-4411.3247089265178</c:v>
                </c:pt>
                <c:pt idx="3">
                  <c:v>-4411.1957801851931</c:v>
                </c:pt>
                <c:pt idx="4">
                  <c:v>-4410.9769196086781</c:v>
                </c:pt>
                <c:pt idx="5">
                  <c:v>-4410.6373091663563</c:v>
                </c:pt>
                <c:pt idx="6">
                  <c:v>-4410.1388965933929</c:v>
                </c:pt>
                <c:pt idx="7">
                  <c:v>-4409.4352985529422</c:v>
                </c:pt>
                <c:pt idx="8">
                  <c:v>-4408.470656769884</c:v>
                </c:pt>
                <c:pt idx="9">
                  <c:v>-4407.1784713423913</c:v>
                </c:pt>
                <c:pt idx="10">
                  <c:v>-4405.4804410744036</c:v>
                </c:pt>
                <c:pt idx="11">
                  <c:v>-4403.2853461768082</c:v>
                </c:pt>
                <c:pt idx="12">
                  <c:v>-4400.4880137879354</c:v>
                </c:pt>
                <c:pt idx="13">
                  <c:v>-4396.9684111718834</c:v>
                </c:pt>
                <c:pt idx="14">
                  <c:v>-4392.5909148610453</c:v>
                </c:pt>
                <c:pt idx="15">
                  <c:v>-4387.2038061126095</c:v>
                </c:pt>
                <c:pt idx="16">
                  <c:v>-4380.6390435633875</c:v>
                </c:pt>
                <c:pt idx="17">
                  <c:v>-4372.7123626439652</c:v>
                </c:pt>
                <c:pt idx="18">
                  <c:v>-4363.2237479564828</c:v>
                </c:pt>
                <c:pt idx="19">
                  <c:v>-4351.9583193058179</c:v>
                </c:pt>
                <c:pt idx="20">
                  <c:v>-4338.6876643621399</c:v>
                </c:pt>
                <c:pt idx="21">
                  <c:v>-4323.1716410811259</c:v>
                </c:pt>
                <c:pt idx="22">
                  <c:v>-4305.1606611781808</c:v>
                </c:pt>
                <c:pt idx="23">
                  <c:v>-4284.3984524131392</c:v>
                </c:pt>
                <c:pt idx="24">
                  <c:v>-4260.6252825637266</c:v>
                </c:pt>
                <c:pt idx="25">
                  <c:v>-4233.5816122156184</c:v>
                </c:pt>
                <c:pt idx="26">
                  <c:v>-4203.0121274192534</c:v>
                </c:pt>
                <c:pt idx="27">
                  <c:v>-4168.6700874630742</c:v>
                </c:pt>
                <c:pt idx="28">
                  <c:v>-4130.3219081283687</c:v>
                </c:pt>
                <c:pt idx="29">
                  <c:v>-4087.7518874655052</c:v>
                </c:pt>
                <c:pt idx="30">
                  <c:v>-4040.7669699864159</c:v>
                </c:pt>
                <c:pt idx="31">
                  <c:v>-3989.2014367660963</c:v>
                </c:pt>
                <c:pt idx="32">
                  <c:v>-3932.9214037677048</c:v>
                </c:pt>
                <c:pt idx="33">
                  <c:v>-3871.829009119087</c:v>
                </c:pt>
                <c:pt idx="34">
                  <c:v>-3805.8661723077398</c:v>
                </c:pt>
                <c:pt idx="35">
                  <c:v>-3735.0178144131587</c:v>
                </c:pt>
                <c:pt idx="36">
                  <c:v>-3659.3144384865682</c:v>
                </c:pt>
                <c:pt idx="37">
                  <c:v>-3578.8339827869677</c:v>
                </c:pt>
                <c:pt idx="38">
                  <c:v>-3493.7028764034271</c:v>
                </c:pt>
                <c:pt idx="39">
                  <c:v>-3404.0962463130131</c:v>
                </c:pt>
                <c:pt idx="40">
                  <c:v>-3310.2372464993005</c:v>
                </c:pt>
                <c:pt idx="41">
                  <c:v>-3212.3955026558933</c:v>
                </c:pt>
                <c:pt idx="42">
                  <c:v>-3110.8846894298936</c:v>
                </c:pt>
                <c:pt idx="43">
                  <c:v>-3006.0592803060713</c:v>
                </c:pt>
                <c:pt idx="44">
                  <c:v>-2898.3105322863307</c:v>
                </c:pt>
                <c:pt idx="45">
                  <c:v>-2788.0617877198661</c:v>
                </c:pt>
                <c:pt idx="46">
                  <c:v>-2675.7631933041898</c:v>
                </c:pt>
                <c:pt idx="47">
                  <c:v>-2561.8859508255314</c:v>
                </c:pt>
                <c:pt idx="48">
                  <c:v>-2446.9162251897737</c:v>
                </c:pt>
                <c:pt idx="49">
                  <c:v>-2331.3488424036768</c:v>
                </c:pt>
                <c:pt idx="50">
                  <c:v>-2215.6809132471144</c:v>
                </c:pt>
                <c:pt idx="51">
                  <c:v>-2100.4055174299569</c:v>
                </c:pt>
                <c:pt idx="52">
                  <c:v>-1986.0055782028583</c:v>
                </c:pt>
                <c:pt idx="53">
                  <c:v>-1872.9480489757775</c:v>
                </c:pt>
                <c:pt idx="54">
                  <c:v>-1761.6785218998284</c:v>
                </c:pt>
                <c:pt idx="55">
                  <c:v>-1652.6163540929883</c:v>
                </c:pt>
                <c:pt idx="56">
                  <c:v>-1546.1503908165557</c:v>
                </c:pt>
                <c:pt idx="57">
                  <c:v>-1442.6353470635859</c:v>
                </c:pt>
                <c:pt idx="58">
                  <c:v>-1342.3888903458769</c:v>
                </c:pt>
                <c:pt idx="59">
                  <c:v>-1245.6894485995429</c:v>
                </c:pt>
                <c:pt idx="60">
                  <c:v>-1152.7747486751562</c:v>
                </c:pt>
                <c:pt idx="61">
                  <c:v>-1063.8410733869352</c:v>
                </c:pt>
                <c:pt idx="62">
                  <c:v>-979.04320904735482</c:v>
                </c:pt>
                <c:pt idx="63">
                  <c:v>-898.49504120298877</c:v>
                </c:pt>
                <c:pt idx="64">
                  <c:v>-822.27074421726195</c:v>
                </c:pt>
                <c:pt idx="65">
                  <c:v>-750.40650062179225</c:v>
                </c:pt>
                <c:pt idx="66">
                  <c:v>-682.90267888759865</c:v>
                </c:pt>
                <c:pt idx="67">
                  <c:v>-619.72639346811957</c:v>
                </c:pt>
                <c:pt idx="68">
                  <c:v>-560.81436856861012</c:v>
                </c:pt>
                <c:pt idx="69">
                  <c:v>-506.07602695840717</c:v>
                </c:pt>
                <c:pt idx="70">
                  <c:v>-455.39672705971856</c:v>
                </c:pt>
                <c:pt idx="71">
                  <c:v>-408.6410752660039</c:v>
                </c:pt>
                <c:pt idx="72">
                  <c:v>-365.65624567837773</c:v>
                </c:pt>
                <c:pt idx="73">
                  <c:v>-326.27524589317039</c:v>
                </c:pt>
                <c:pt idx="74">
                  <c:v>-290.32007481464177</c:v>
                </c:pt>
                <c:pt idx="75">
                  <c:v>-257.60472639596981</c:v>
                </c:pt>
                <c:pt idx="76">
                  <c:v>-227.93800143677291</c:v>
                </c:pt>
                <c:pt idx="77">
                  <c:v>-201.12609781874477</c:v>
                </c:pt>
                <c:pt idx="78">
                  <c:v>-176.97495760515793</c:v>
                </c:pt>
                <c:pt idx="79">
                  <c:v>-155.29235706358733</c:v>
                </c:pt>
                <c:pt idx="80">
                  <c:v>-135.88973272996671</c:v>
                </c:pt>
                <c:pt idx="81">
                  <c:v>-118.58374299155126</c:v>
                </c:pt>
                <c:pt idx="82">
                  <c:v>-103.19757023895963</c:v>
                </c:pt>
                <c:pt idx="83">
                  <c:v>-89.561973372585726</c:v>
                </c:pt>
                <c:pt idx="84">
                  <c:v>-77.516104327597645</c:v>
                </c:pt>
                <c:pt idx="85">
                  <c:v>-66.908105315057469</c:v>
                </c:pt>
                <c:pt idx="86">
                  <c:v>-57.595505699167106</c:v>
                </c:pt>
                <c:pt idx="87">
                  <c:v>-49.445438896605154</c:v>
                </c:pt>
                <c:pt idx="88">
                  <c:v>-42.33470046276755</c:v>
                </c:pt>
                <c:pt idx="89">
                  <c:v>-36.14966870113021</c:v>
                </c:pt>
                <c:pt idx="90">
                  <c:v>-30.786108781751622</c:v>
                </c:pt>
                <c:pt idx="91">
                  <c:v>-26.148880571354454</c:v>
                </c:pt>
                <c:pt idx="92">
                  <c:v>-22.151569247715646</c:v>
                </c:pt>
                <c:pt idx="93">
                  <c:v>-18.716056378942685</c:v>
                </c:pt>
                <c:pt idx="94">
                  <c:v>-15.772047571528164</c:v>
                </c:pt>
                <c:pt idx="95">
                  <c:v>-13.256571100411609</c:v>
                </c:pt>
                <c:pt idx="96">
                  <c:v>-11.113460191902766</c:v>
                </c:pt>
                <c:pt idx="97">
                  <c:v>-9.2928298894291359</c:v>
                </c:pt>
                <c:pt idx="98">
                  <c:v>-7.7505577368922767</c:v>
                </c:pt>
                <c:pt idx="99">
                  <c:v>-6.4477759001338217</c:v>
                </c:pt>
                <c:pt idx="100">
                  <c:v>-5.3503808404461655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E5C-405A-9263-AFE0C9900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Rho</a:t>
            </a:r>
            <a:r>
              <a:rPr lang="en-US" altLang="ja-JP" baseline="0"/>
              <a:t> Put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ITM</c:v>
          </c:tx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Greeks_B76!$AH$12:$AH$112</c:f>
              <c:numCache>
                <c:formatCode>General</c:formatCode>
                <c:ptCount val="101"/>
                <c:pt idx="0">
                  <c:v>-4.8834061029535309</c:v>
                </c:pt>
                <c:pt idx="1">
                  <c:v>-6.4217651333503278</c:v>
                </c:pt>
                <c:pt idx="2">
                  <c:v>-8.3978850000535843</c:v>
                </c:pt>
                <c:pt idx="3">
                  <c:v>-10.92175835991419</c:v>
                </c:pt>
                <c:pt idx="4">
                  <c:v>-14.126853197653022</c:v>
                </c:pt>
                <c:pt idx="5">
                  <c:v>-18.174041453909076</c:v>
                </c:pt>
                <c:pt idx="6">
                  <c:v>-23.255929182907828</c:v>
                </c:pt>
                <c:pt idx="7">
                  <c:v>-29.601571736287756</c:v>
                </c:pt>
                <c:pt idx="8">
                  <c:v>-37.481541716326554</c:v>
                </c:pt>
                <c:pt idx="9">
                  <c:v>-47.213299350773632</c:v>
                </c:pt>
                <c:pt idx="10">
                  <c:v>-59.16679475385979</c:v>
                </c:pt>
                <c:pt idx="11">
                  <c:v>-73.770209639573324</c:v>
                </c:pt>
                <c:pt idx="12">
                  <c:v>-91.515722983794618</c:v>
                </c:pt>
                <c:pt idx="13">
                  <c:v>-112.96516158864115</c:v>
                </c:pt>
                <c:pt idx="14">
                  <c:v>-138.7553733324921</c:v>
                </c:pt>
                <c:pt idx="15">
                  <c:v>-169.60313907583767</c:v>
                </c:pt>
                <c:pt idx="16">
                  <c:v>-206.30941982982515</c:v>
                </c:pt>
                <c:pt idx="17">
                  <c:v>-249.76272005005734</c:v>
                </c:pt>
                <c:pt idx="18">
                  <c:v>-300.94133699243332</c:v>
                </c:pt>
                <c:pt idx="19">
                  <c:v>-360.91426113792068</c:v>
                </c:pt>
                <c:pt idx="20">
                  <c:v>-430.8404948541276</c:v>
                </c:pt>
                <c:pt idx="21">
                  <c:v>-511.96656666333291</c:v>
                </c:pt>
                <c:pt idx="22">
                  <c:v>-605.62203746802084</c:v>
                </c:pt>
                <c:pt idx="23">
                  <c:v>-713.21282331246539</c:v>
                </c:pt>
                <c:pt idx="24">
                  <c:v>-836.21219687168559</c:v>
                </c:pt>
                <c:pt idx="25">
                  <c:v>-976.14937661986733</c:v>
                </c:pt>
                <c:pt idx="26">
                  <c:v>-1134.5956678997052</c:v>
                </c:pt>
                <c:pt idx="27">
                  <c:v>-1313.1481828284166</c:v>
                </c:pt>
                <c:pt idx="28">
                  <c:v>-1513.4112346586935</c:v>
                </c:pt>
                <c:pt idx="29">
                  <c:v>-1736.9755749959756</c:v>
                </c:pt>
                <c:pt idx="30">
                  <c:v>-1985.3957169469511</c:v>
                </c:pt>
                <c:pt idx="31">
                  <c:v>-2260.1656613545647</c:v>
                </c:pt>
                <c:pt idx="32">
                  <c:v>-2562.6934140916037</c:v>
                </c:pt>
                <c:pt idx="33">
                  <c:v>-2894.2747471836756</c:v>
                </c:pt>
                <c:pt idx="34">
                  <c:v>-3256.0667125904538</c:v>
                </c:pt>
                <c:pt idx="35">
                  <c:v>-3649.0614622176258</c:v>
                </c:pt>
                <c:pt idx="36">
                  <c:v>-4074.0609588635839</c:v>
                </c:pt>
                <c:pt idx="37">
                  <c:v>-4531.6531784068711</c:v>
                </c:pt>
                <c:pt idx="38">
                  <c:v>-5022.1904021926812</c:v>
                </c:pt>
                <c:pt idx="39">
                  <c:v>-5545.7701794237091</c:v>
                </c:pt>
                <c:pt idx="40">
                  <c:v>-6102.2195021914713</c:v>
                </c:pt>
                <c:pt idx="41">
                  <c:v>-6691.0826810492617</c:v>
                </c:pt>
                <c:pt idx="42">
                  <c:v>-7311.613337857304</c:v>
                </c:pt>
                <c:pt idx="43">
                  <c:v>-7962.7708468063283</c:v>
                </c:pt>
                <c:pt idx="44">
                  <c:v>-8643.221456412577</c:v>
                </c:pt>
                <c:pt idx="45">
                  <c:v>-9351.3442177661545</c:v>
                </c:pt>
                <c:pt idx="46">
                  <c:v>-10085.241730683287</c:v>
                </c:pt>
                <c:pt idx="47">
                  <c:v>-10842.755603225944</c:v>
                </c:pt>
                <c:pt idx="48">
                  <c:v>-11621.486405000258</c:v>
                </c:pt>
                <c:pt idx="49">
                  <c:v>-12418.817784416247</c:v>
                </c:pt>
                <c:pt idx="50">
                  <c:v>-13231.944318204443</c:v>
                </c:pt>
                <c:pt idx="51">
                  <c:v>-14057.902571168905</c:v>
                </c:pt>
                <c:pt idx="52">
                  <c:v>-14893.604768221538</c:v>
                </c:pt>
                <c:pt idx="53">
                  <c:v>-15735.874421452067</c:v>
                </c:pt>
                <c:pt idx="54">
                  <c:v>-16581.483214029329</c:v>
                </c:pt>
                <c:pt idx="55">
                  <c:v>-17427.188421086852</c:v>
                </c:pt>
                <c:pt idx="56">
                  <c:v>-18269.77014575704</c:v>
                </c:pt>
                <c:pt idx="57">
                  <c:v>-19106.067665802817</c:v>
                </c:pt>
                <c:pt idx="58">
                  <c:v>-19933.014221853886</c:v>
                </c:pt>
                <c:pt idx="59">
                  <c:v>-20747.669630476739</c:v>
                </c:pt>
                <c:pt idx="60">
                  <c:v>-21547.250172087843</c:v>
                </c:pt>
                <c:pt idx="61">
                  <c:v>-22329.155282539494</c:v>
                </c:pt>
                <c:pt idx="62">
                  <c:v>-23090.990665247718</c:v>
                </c:pt>
                <c:pt idx="63">
                  <c:v>-23830.587535001643</c:v>
                </c:pt>
                <c:pt idx="64">
                  <c:v>-24546.017802031751</c:v>
                </c:pt>
                <c:pt idx="65">
                  <c:v>-25235.605102521142</c:v>
                </c:pt>
                <c:pt idx="66">
                  <c:v>-25897.93167667717</c:v>
                </c:pt>
                <c:pt idx="67">
                  <c:v>-26531.841185151072</c:v>
                </c:pt>
                <c:pt idx="68">
                  <c:v>-27136.43763674406</c:v>
                </c:pt>
                <c:pt idx="69">
                  <c:v>-27711.08067309863</c:v>
                </c:pt>
                <c:pt idx="70">
                  <c:v>-28255.377518005062</c:v>
                </c:pt>
                <c:pt idx="71">
                  <c:v>-28769.171949061016</c:v>
                </c:pt>
                <c:pt idx="72">
                  <c:v>-29252.530687161885</c:v>
                </c:pt>
                <c:pt idx="73">
                  <c:v>-29705.727624560826</c:v>
                </c:pt>
                <c:pt idx="74">
                  <c:v>-30129.226325304735</c:v>
                </c:pt>
                <c:pt idx="75">
                  <c:v>-30523.661233371833</c:v>
                </c:pt>
                <c:pt idx="76">
                  <c:v>-30889.818014751436</c:v>
                </c:pt>
                <c:pt idx="77">
                  <c:v>-31228.613441205103</c:v>
                </c:pt>
                <c:pt idx="78">
                  <c:v>-31541.075196894613</c:v>
                </c:pt>
                <c:pt idx="79">
                  <c:v>-31828.32195593803</c:v>
                </c:pt>
                <c:pt idx="80">
                  <c:v>-32091.544040792054</c:v>
                </c:pt>
                <c:pt idx="81">
                  <c:v>-32331.984929685572</c:v>
                </c:pt>
                <c:pt idx="82">
                  <c:v>-32550.923837622035</c:v>
                </c:pt>
                <c:pt idx="83">
                  <c:v>-32749.65955110118</c:v>
                </c:pt>
                <c:pt idx="84">
                  <c:v>-32929.495652930098</c:v>
                </c:pt>
                <c:pt idx="85">
                  <c:v>-33091.727231384022</c:v>
                </c:pt>
                <c:pt idx="86">
                  <c:v>-33237.62912845055</c:v>
                </c:pt>
                <c:pt idx="87">
                  <c:v>-33368.445745674457</c:v>
                </c:pt>
                <c:pt idx="88">
                  <c:v>-33485.382393755033</c:v>
                </c:pt>
                <c:pt idx="89">
                  <c:v>-33589.598143899595</c:v>
                </c:pt>
                <c:pt idx="90">
                  <c:v>-33682.200115198022</c:v>
                </c:pt>
                <c:pt idx="91">
                  <c:v>-33764.239113000891</c:v>
                </c:pt>
                <c:pt idx="92">
                  <c:v>-33836.706518364714</c:v>
                </c:pt>
                <c:pt idx="93">
                  <c:v>-33900.532317873018</c:v>
                </c:pt>
                <c:pt idx="94">
                  <c:v>-33956.584156257872</c:v>
                </c:pt>
                <c:pt idx="95">
                  <c:v>-34005.667290871934</c:v>
                </c:pt>
                <c:pt idx="96">
                  <c:v>-34048.525326789873</c:v>
                </c:pt>
                <c:pt idx="97">
                  <c:v>-34085.841613712451</c:v>
                </c:pt>
                <c:pt idx="98">
                  <c:v>-34118.241190462133</c:v>
                </c:pt>
                <c:pt idx="99">
                  <c:v>-34146.29316925403</c:v>
                </c:pt>
                <c:pt idx="100">
                  <c:v>-34170.513459677903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5D-4C4A-874A-44F74FA7E1B6}"/>
            </c:ext>
          </c:extLst>
        </c:ser>
        <c:ser>
          <c:idx val="2"/>
          <c:order val="1"/>
          <c:tx>
            <c:v>ATM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Greeks_B76!$AI$12:$AI$112</c:f>
              <c:numCache>
                <c:formatCode>General</c:formatCode>
                <c:ptCount val="101"/>
                <c:pt idx="0">
                  <c:v>-15.536260538586056</c:v>
                </c:pt>
                <c:pt idx="1">
                  <c:v>-20.008769833131705</c:v>
                </c:pt>
                <c:pt idx="2">
                  <c:v>-25.628370017354779</c:v>
                </c:pt>
                <c:pt idx="3">
                  <c:v>-32.649152308028029</c:v>
                </c:pt>
                <c:pt idx="4">
                  <c:v>-41.371064614458533</c:v>
                </c:pt>
                <c:pt idx="5">
                  <c:v>-52.145736191786547</c:v>
                </c:pt>
                <c:pt idx="6">
                  <c:v>-65.382513838316385</c:v>
                </c:pt>
                <c:pt idx="7">
                  <c:v>-81.554598375453281</c:v>
                </c:pt>
                <c:pt idx="8">
                  <c:v>-101.20514434981881</c:v>
                </c:pt>
                <c:pt idx="9">
                  <c:v>-124.95315995805443</c:v>
                </c:pt>
                <c:pt idx="10">
                  <c:v>-153.49901914564026</c:v>
                </c:pt>
                <c:pt idx="11">
                  <c:v>-187.62937484424924</c:v>
                </c:pt>
                <c:pt idx="12">
                  <c:v>-228.22124267119554</c:v>
                </c:pt>
                <c:pt idx="13">
                  <c:v>-276.24500946521306</c:v>
                </c:pt>
                <c:pt idx="14">
                  <c:v>-332.76611212879374</c:v>
                </c:pt>
                <c:pt idx="15">
                  <c:v>-398.94513068314444</c:v>
                </c:pt>
                <c:pt idx="16">
                  <c:v>-476.03604638108396</c:v>
                </c:pt>
                <c:pt idx="17">
                  <c:v>-565.38243212506302</c:v>
                </c:pt>
                <c:pt idx="18">
                  <c:v>-668.41136897954561</c:v>
                </c:pt>
                <c:pt idx="19">
                  <c:v>-786.62491958083831</c:v>
                </c:pt>
                <c:pt idx="20">
                  <c:v>-921.58903665566152</c:v>
                </c:pt>
                <c:pt idx="21">
                  <c:v>-1074.9198421347799</c:v>
                </c:pt>
                <c:pt idx="22">
                  <c:v>-1248.2672784838921</c:v>
                </c:pt>
                <c:pt idx="23">
                  <c:v>-1443.2962073854221</c:v>
                </c:pt>
                <c:pt idx="24">
                  <c:v>-1661.6651098412378</c:v>
                </c:pt>
                <c:pt idx="25">
                  <c:v>-1905.0026237666486</c:v>
                </c:pt>
                <c:pt idx="26">
                  <c:v>-2174.8822374987849</c:v>
                </c:pt>
                <c:pt idx="27">
                  <c:v>-2472.7955373876312</c:v>
                </c:pt>
                <c:pt idx="28">
                  <c:v>-2800.1244816764111</c:v>
                </c:pt>
                <c:pt idx="29">
                  <c:v>-3158.1132381008601</c:v>
                </c:pt>
                <c:pt idx="30">
                  <c:v>-3547.8401760665784</c:v>
                </c:pt>
                <c:pt idx="31">
                  <c:v>-3970.1906431870643</c:v>
                </c:pt>
                <c:pt idx="32">
                  <c:v>-4425.8311780831409</c:v>
                </c:pt>
                <c:pt idx="33">
                  <c:v>-4915.1858148771444</c:v>
                </c:pt>
                <c:pt idx="34">
                  <c:v>-5438.4151186260124</c:v>
                </c:pt>
                <c:pt idx="35">
                  <c:v>-5995.3985545945889</c:v>
                </c:pt>
                <c:pt idx="36">
                  <c:v>-6585.7207381088556</c:v>
                </c:pt>
                <c:pt idx="37">
                  <c:v>-7208.6620368546892</c:v>
                </c:pt>
                <c:pt idx="38">
                  <c:v>-7863.1939057619129</c:v>
                </c:pt>
                <c:pt idx="39">
                  <c:v>-8547.9792285951717</c:v>
                </c:pt>
                <c:pt idx="40">
                  <c:v>-9261.3778232225832</c:v>
                </c:pt>
                <c:pt idx="41">
                  <c:v>-10001.457142898707</c:v>
                </c:pt>
                <c:pt idx="42">
                  <c:v>-10766.00807777157</c:v>
                </c:pt>
                <c:pt idx="43">
                  <c:v>-11552.565633367753</c:v>
                </c:pt>
                <c:pt idx="44">
                  <c:v>-12358.43414021376</c:v>
                </c:pt>
                <c:pt idx="45">
                  <c:v>-13180.716535025593</c:v>
                </c:pt>
                <c:pt idx="46">
                  <c:v>-14016.347152749768</c:v>
                </c:pt>
                <c:pt idx="47">
                  <c:v>-14862.127383386629</c:v>
                </c:pt>
                <c:pt idx="48">
                  <c:v>-15714.763480613103</c:v>
                </c:pt>
                <c:pt idx="49">
                  <c:v>-16570.905762680475</c:v>
                </c:pt>
                <c:pt idx="50">
                  <c:v>-17427.188421086852</c:v>
                </c:pt>
                <c:pt idx="51">
                  <c:v>-18280.269149507418</c:v>
                </c:pt>
                <c:pt idx="52">
                  <c:v>-19126.86782402996</c:v>
                </c:pt>
                <c:pt idx="53">
                  <c:v>-19963.803504756295</c:v>
                </c:pt>
                <c:pt idx="54">
                  <c:v>-20788.029086490729</c:v>
                </c:pt>
                <c:pt idx="55">
                  <c:v>-21596.663000154651</c:v>
                </c:pt>
                <c:pt idx="56">
                  <c:v>-22387.017453888962</c:v>
                </c:pt>
                <c:pt idx="57">
                  <c:v>-23156.622800337045</c:v>
                </c:pt>
                <c:pt idx="58">
                  <c:v>-23903.24772094567</c:v>
                </c:pt>
                <c:pt idx="59">
                  <c:v>-24624.915025821374</c:v>
                </c:pt>
                <c:pt idx="60">
                  <c:v>-25319.912975342941</c:v>
                </c:pt>
                <c:pt idx="61">
                  <c:v>-25986.802134159352</c:v>
                </c:pt>
                <c:pt idx="62">
                  <c:v>-26624.417866497697</c:v>
                </c:pt>
                <c:pt idx="63">
                  <c:v>-27231.868671349672</c:v>
                </c:pt>
                <c:pt idx="64">
                  <c:v>-27808.530635038336</c:v>
                </c:pt>
                <c:pt idx="65">
                  <c:v>-28354.038345317509</c:v>
                </c:pt>
                <c:pt idx="66">
                  <c:v>-28868.272664473265</c:v>
                </c:pt>
                <c:pt idx="67">
                  <c:v>-29351.345798335984</c:v>
                </c:pt>
                <c:pt idx="68">
                  <c:v>-29803.584123623983</c:v>
                </c:pt>
                <c:pt idx="69">
                  <c:v>-30225.50924802239</c:v>
                </c:pt>
                <c:pt idx="70">
                  <c:v>-30617.81777665297</c:v>
                </c:pt>
                <c:pt idx="71">
                  <c:v>-30981.360246240092</c:v>
                </c:pt>
                <c:pt idx="72">
                  <c:v>-31317.119665718175</c:v>
                </c:pt>
                <c:pt idx="73">
                  <c:v>-31626.190070837416</c:v>
                </c:pt>
                <c:pt idx="74">
                  <c:v>-31909.755462202102</c:v>
                </c:pt>
                <c:pt idx="75">
                  <c:v>-32169.06945285988</c:v>
                </c:pt>
                <c:pt idx="76">
                  <c:v>-32405.4359047703</c:v>
                </c:pt>
                <c:pt idx="77">
                  <c:v>-32620.190784859351</c:v>
                </c:pt>
                <c:pt idx="78">
                  <c:v>-32814.685422432805</c:v>
                </c:pt>
                <c:pt idx="79">
                  <c:v>-32990.271301832421</c:v>
                </c:pt>
                <c:pt idx="80">
                  <c:v>-33148.286478543945</c:v>
                </c:pt>
                <c:pt idx="81">
                  <c:v>-33290.043664469806</c:v>
                </c:pt>
                <c:pt idx="82">
                  <c:v>-33416.819989513766</c:v>
                </c:pt>
                <c:pt idx="83">
                  <c:v>-33529.848412533254</c:v>
                </c:pt>
                <c:pt idx="84">
                  <c:v>-33630.310725436801</c:v>
                </c:pt>
                <c:pt idx="85">
                  <c:v>-33719.332069895499</c:v>
                </c:pt>
                <c:pt idx="86">
                  <c:v>-33797.976866785473</c:v>
                </c:pt>
                <c:pt idx="87">
                  <c:v>-33867.246043929445</c:v>
                </c:pt>
                <c:pt idx="88">
                  <c:v>-33928.075437684485</c:v>
                </c:pt>
                <c:pt idx="89">
                  <c:v>-33981.335238065178</c:v>
                </c:pt>
                <c:pt idx="90">
                  <c:v>-34027.830344960443</c:v>
                </c:pt>
                <c:pt idx="91">
                  <c:v>-34068.301504121315</c:v>
                </c:pt>
                <c:pt idx="92">
                  <c:v>-34103.427095464205</c:v>
                </c:pt>
                <c:pt idx="93">
                  <c:v>-34133.825452346005</c:v>
                </c:pt>
                <c:pt idx="94">
                  <c:v>-34160.057598332642</c:v>
                </c:pt>
                <c:pt idx="95">
                  <c:v>-34182.630297137723</c:v>
                </c:pt>
                <c:pt idx="96">
                  <c:v>-34201.999321423908</c:v>
                </c:pt>
                <c:pt idx="97">
                  <c:v>-34218.572856654668</c:v>
                </c:pt>
                <c:pt idx="98">
                  <c:v>-34232.714966821208</c:v>
                </c:pt>
                <c:pt idx="99">
                  <c:v>-34244.749059366819</c:v>
                </c:pt>
                <c:pt idx="100">
                  <c:v>-34254.961296754045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5D-4C4A-874A-44F74FA7E1B6}"/>
            </c:ext>
          </c:extLst>
        </c:ser>
        <c:ser>
          <c:idx val="0"/>
          <c:order val="2"/>
          <c:tx>
            <c:v>OTM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Greeks_B76!$F$12:$F$112</c:f>
              <c:numCache>
                <c:formatCode>General</c:formatCode>
                <c:ptCount val="101"/>
                <c:pt idx="0">
                  <c:v>35000</c:v>
                </c:pt>
                <c:pt idx="1">
                  <c:v>35100</c:v>
                </c:pt>
                <c:pt idx="2">
                  <c:v>35200</c:v>
                </c:pt>
                <c:pt idx="3">
                  <c:v>35300</c:v>
                </c:pt>
                <c:pt idx="4">
                  <c:v>35400</c:v>
                </c:pt>
                <c:pt idx="5">
                  <c:v>35500</c:v>
                </c:pt>
                <c:pt idx="6">
                  <c:v>35600</c:v>
                </c:pt>
                <c:pt idx="7">
                  <c:v>35700</c:v>
                </c:pt>
                <c:pt idx="8">
                  <c:v>35800</c:v>
                </c:pt>
                <c:pt idx="9">
                  <c:v>35900</c:v>
                </c:pt>
                <c:pt idx="10">
                  <c:v>36000</c:v>
                </c:pt>
                <c:pt idx="11">
                  <c:v>36100</c:v>
                </c:pt>
                <c:pt idx="12">
                  <c:v>36200</c:v>
                </c:pt>
                <c:pt idx="13">
                  <c:v>36300</c:v>
                </c:pt>
                <c:pt idx="14">
                  <c:v>36400</c:v>
                </c:pt>
                <c:pt idx="15">
                  <c:v>36500</c:v>
                </c:pt>
                <c:pt idx="16">
                  <c:v>36600</c:v>
                </c:pt>
                <c:pt idx="17">
                  <c:v>36700</c:v>
                </c:pt>
                <c:pt idx="18">
                  <c:v>36800</c:v>
                </c:pt>
                <c:pt idx="19">
                  <c:v>36900</c:v>
                </c:pt>
                <c:pt idx="20">
                  <c:v>37000</c:v>
                </c:pt>
                <c:pt idx="21">
                  <c:v>37100</c:v>
                </c:pt>
                <c:pt idx="22">
                  <c:v>37200</c:v>
                </c:pt>
                <c:pt idx="23">
                  <c:v>37300</c:v>
                </c:pt>
                <c:pt idx="24">
                  <c:v>37400</c:v>
                </c:pt>
                <c:pt idx="25">
                  <c:v>37500</c:v>
                </c:pt>
                <c:pt idx="26">
                  <c:v>37600</c:v>
                </c:pt>
                <c:pt idx="27">
                  <c:v>37700</c:v>
                </c:pt>
                <c:pt idx="28">
                  <c:v>37800</c:v>
                </c:pt>
                <c:pt idx="29">
                  <c:v>37900</c:v>
                </c:pt>
                <c:pt idx="30">
                  <c:v>38000</c:v>
                </c:pt>
                <c:pt idx="31">
                  <c:v>38100</c:v>
                </c:pt>
                <c:pt idx="32">
                  <c:v>38200</c:v>
                </c:pt>
                <c:pt idx="33">
                  <c:v>38300</c:v>
                </c:pt>
                <c:pt idx="34">
                  <c:v>38400</c:v>
                </c:pt>
                <c:pt idx="35">
                  <c:v>38500</c:v>
                </c:pt>
                <c:pt idx="36">
                  <c:v>38600</c:v>
                </c:pt>
                <c:pt idx="37">
                  <c:v>38700</c:v>
                </c:pt>
                <c:pt idx="38">
                  <c:v>38800</c:v>
                </c:pt>
                <c:pt idx="39">
                  <c:v>38900</c:v>
                </c:pt>
                <c:pt idx="40">
                  <c:v>39000</c:v>
                </c:pt>
                <c:pt idx="41">
                  <c:v>39100</c:v>
                </c:pt>
                <c:pt idx="42">
                  <c:v>39200</c:v>
                </c:pt>
                <c:pt idx="43">
                  <c:v>39300</c:v>
                </c:pt>
                <c:pt idx="44">
                  <c:v>39400</c:v>
                </c:pt>
                <c:pt idx="45">
                  <c:v>39500</c:v>
                </c:pt>
                <c:pt idx="46">
                  <c:v>39600</c:v>
                </c:pt>
                <c:pt idx="47">
                  <c:v>39700</c:v>
                </c:pt>
                <c:pt idx="48">
                  <c:v>39800</c:v>
                </c:pt>
                <c:pt idx="49">
                  <c:v>39900</c:v>
                </c:pt>
                <c:pt idx="50">
                  <c:v>40000</c:v>
                </c:pt>
                <c:pt idx="51">
                  <c:v>40100</c:v>
                </c:pt>
                <c:pt idx="52">
                  <c:v>40200</c:v>
                </c:pt>
                <c:pt idx="53">
                  <c:v>40300</c:v>
                </c:pt>
                <c:pt idx="54">
                  <c:v>40400</c:v>
                </c:pt>
                <c:pt idx="55">
                  <c:v>40500</c:v>
                </c:pt>
                <c:pt idx="56">
                  <c:v>40600</c:v>
                </c:pt>
                <c:pt idx="57">
                  <c:v>40700</c:v>
                </c:pt>
                <c:pt idx="58">
                  <c:v>40800</c:v>
                </c:pt>
                <c:pt idx="59">
                  <c:v>40900</c:v>
                </c:pt>
                <c:pt idx="60">
                  <c:v>41000</c:v>
                </c:pt>
                <c:pt idx="61">
                  <c:v>41100</c:v>
                </c:pt>
                <c:pt idx="62">
                  <c:v>41200</c:v>
                </c:pt>
                <c:pt idx="63">
                  <c:v>41300</c:v>
                </c:pt>
                <c:pt idx="64">
                  <c:v>41400</c:v>
                </c:pt>
                <c:pt idx="65">
                  <c:v>41500</c:v>
                </c:pt>
                <c:pt idx="66">
                  <c:v>41600</c:v>
                </c:pt>
                <c:pt idx="67">
                  <c:v>41700</c:v>
                </c:pt>
                <c:pt idx="68">
                  <c:v>41800</c:v>
                </c:pt>
                <c:pt idx="69">
                  <c:v>41900</c:v>
                </c:pt>
                <c:pt idx="70">
                  <c:v>42000</c:v>
                </c:pt>
                <c:pt idx="71">
                  <c:v>42100</c:v>
                </c:pt>
                <c:pt idx="72">
                  <c:v>42200</c:v>
                </c:pt>
                <c:pt idx="73">
                  <c:v>42300</c:v>
                </c:pt>
                <c:pt idx="74">
                  <c:v>42400</c:v>
                </c:pt>
                <c:pt idx="75">
                  <c:v>42500</c:v>
                </c:pt>
                <c:pt idx="76">
                  <c:v>42600</c:v>
                </c:pt>
                <c:pt idx="77">
                  <c:v>42700</c:v>
                </c:pt>
                <c:pt idx="78">
                  <c:v>42800</c:v>
                </c:pt>
                <c:pt idx="79">
                  <c:v>42900</c:v>
                </c:pt>
                <c:pt idx="80">
                  <c:v>43000</c:v>
                </c:pt>
                <c:pt idx="81">
                  <c:v>43100</c:v>
                </c:pt>
                <c:pt idx="82">
                  <c:v>43200</c:v>
                </c:pt>
                <c:pt idx="83">
                  <c:v>43300</c:v>
                </c:pt>
                <c:pt idx="84">
                  <c:v>43400</c:v>
                </c:pt>
                <c:pt idx="85">
                  <c:v>43500</c:v>
                </c:pt>
                <c:pt idx="86">
                  <c:v>43600</c:v>
                </c:pt>
                <c:pt idx="87">
                  <c:v>43700</c:v>
                </c:pt>
                <c:pt idx="88">
                  <c:v>43800</c:v>
                </c:pt>
                <c:pt idx="89">
                  <c:v>43900</c:v>
                </c:pt>
                <c:pt idx="90">
                  <c:v>44000</c:v>
                </c:pt>
                <c:pt idx="91">
                  <c:v>44100</c:v>
                </c:pt>
                <c:pt idx="92">
                  <c:v>44200</c:v>
                </c:pt>
                <c:pt idx="93">
                  <c:v>44300</c:v>
                </c:pt>
                <c:pt idx="94">
                  <c:v>44400</c:v>
                </c:pt>
                <c:pt idx="95">
                  <c:v>44500</c:v>
                </c:pt>
                <c:pt idx="96">
                  <c:v>44600</c:v>
                </c:pt>
                <c:pt idx="97">
                  <c:v>44700</c:v>
                </c:pt>
                <c:pt idx="98">
                  <c:v>44800</c:v>
                </c:pt>
                <c:pt idx="99">
                  <c:v>44900</c:v>
                </c:pt>
                <c:pt idx="100">
                  <c:v>45000</c:v>
                </c:pt>
              </c:numCache>
            </c:numRef>
          </c:xVal>
          <c:yVal>
            <c:numRef>
              <c:f>Greeks_B76!$AJ$12:$AJ$112</c:f>
              <c:numCache>
                <c:formatCode>General</c:formatCode>
                <c:ptCount val="101"/>
                <c:pt idx="0">
                  <c:v>-45.734113141500508</c:v>
                </c:pt>
                <c:pt idx="1">
                  <c:v>-57.67982418408446</c:v>
                </c:pt>
                <c:pt idx="2">
                  <c:v>-72.357046854989093</c:v>
                </c:pt>
                <c:pt idx="3">
                  <c:v>-90.289068371247424</c:v>
                </c:pt>
                <c:pt idx="4">
                  <c:v>-112.0756028787102</c:v>
                </c:pt>
                <c:pt idx="5">
                  <c:v>-138.39890885696536</c:v>
                </c:pt>
                <c:pt idx="6">
                  <c:v>-170.02938445786648</c:v>
                </c:pt>
                <c:pt idx="7">
                  <c:v>-207.83039962373954</c:v>
                </c:pt>
                <c:pt idx="8">
                  <c:v>-252.76210443169666</c:v>
                </c:pt>
                <c:pt idx="9">
                  <c:v>-305.88393970647576</c:v>
                </c:pt>
                <c:pt idx="10">
                  <c:v>-368.35557004744811</c:v>
                </c:pt>
                <c:pt idx="11">
                  <c:v>-441.43596242781121</c:v>
                </c:pt>
                <c:pt idx="12">
                  <c:v>-526.48034665483942</c:v>
                </c:pt>
                <c:pt idx="13">
                  <c:v>-624.93481815661471</c:v>
                </c:pt>
                <c:pt idx="14">
                  <c:v>-738.32837934603731</c:v>
                </c:pt>
                <c:pt idx="15">
                  <c:v>-868.26226333121554</c:v>
                </c:pt>
                <c:pt idx="16">
                  <c:v>-1016.3964426193606</c:v>
                </c:pt>
                <c:pt idx="17">
                  <c:v>-1184.433294785254</c:v>
                </c:pt>
                <c:pt idx="18">
                  <c:v>-1374.0984753820112</c:v>
                </c:pt>
                <c:pt idx="19">
                  <c:v>-1587.119133649765</c:v>
                </c:pt>
                <c:pt idx="20">
                  <c:v>-1825.1996963215822</c:v>
                </c:pt>
                <c:pt idx="21">
                  <c:v>-2089.9955360942367</c:v>
                </c:pt>
                <c:pt idx="22">
                  <c:v>-2383.0849308563406</c:v>
                </c:pt>
                <c:pt idx="23">
                  <c:v>-2705.9398040727456</c:v>
                </c:pt>
                <c:pt idx="24">
                  <c:v>-3059.8958122749764</c:v>
                </c:pt>
                <c:pt idx="25">
                  <c:v>-3446.1224089616935</c:v>
                </c:pt>
                <c:pt idx="26">
                  <c:v>-3865.5935621918043</c:v>
                </c:pt>
                <c:pt idx="27">
                  <c:v>-4319.0598329931827</c:v>
                </c:pt>
                <c:pt idx="28">
                  <c:v>-4807.022531221708</c:v>
                </c:pt>
                <c:pt idx="29">
                  <c:v>-5329.7106531950885</c:v>
                </c:pt>
                <c:pt idx="30">
                  <c:v>-5887.061270596043</c:v>
                </c:pt>
                <c:pt idx="31">
                  <c:v>-6478.7039829570667</c:v>
                </c:pt>
                <c:pt idx="32">
                  <c:v>-7103.9499675615361</c:v>
                </c:pt>
                <c:pt idx="33">
                  <c:v>-7761.7860627519958</c:v>
                </c:pt>
                <c:pt idx="34">
                  <c:v>-8450.8742061738067</c:v>
                </c:pt>
                <c:pt idx="35">
                  <c:v>-9169.5564218634445</c:v>
                </c:pt>
                <c:pt idx="36">
                  <c:v>-9915.8654133664204</c:v>
                </c:pt>
                <c:pt idx="37">
                  <c:v>-10687.540678708729</c:v>
                </c:pt>
                <c:pt idx="38">
                  <c:v>-11482.049921755672</c:v>
                </c:pt>
                <c:pt idx="39">
                  <c:v>-12296.615398022359</c:v>
                </c:pt>
                <c:pt idx="40">
                  <c:v>-13128.244705937892</c:v>
                </c:pt>
                <c:pt idx="41">
                  <c:v>-13973.765421157936</c:v>
                </c:pt>
                <c:pt idx="42">
                  <c:v>-14829.862875482324</c:v>
                </c:pt>
                <c:pt idx="43">
                  <c:v>-15693.120306319821</c:v>
                </c:pt>
                <c:pt idx="44">
                  <c:v>-16560.060549711918</c:v>
                </c:pt>
                <c:pt idx="45">
                  <c:v>-17427.188421086852</c:v>
                </c:pt>
                <c:pt idx="46">
                  <c:v>-18291.032923654035</c:v>
                </c:pt>
                <c:pt idx="47">
                  <c:v>-19148.18844427864</c:v>
                </c:pt>
                <c:pt idx="48">
                  <c:v>-19995.354139524585</c:v>
                </c:pt>
                <c:pt idx="49">
                  <c:v>-20829.370778299104</c:v>
                </c:pt>
                <c:pt idx="50">
                  <c:v>-21647.254389454625</c:v>
                </c:pt>
                <c:pt idx="51">
                  <c:v>-22446.226159573365</c:v>
                </c:pt>
                <c:pt idx="52">
                  <c:v>-23223.738134338233</c:v>
                </c:pt>
                <c:pt idx="53">
                  <c:v>-23977.494392533939</c:v>
                </c:pt>
                <c:pt idx="54">
                  <c:v>-24705.467480898002</c:v>
                </c:pt>
                <c:pt idx="55">
                  <c:v>-25405.910016921938</c:v>
                </c:pt>
                <c:pt idx="56">
                  <c:v>-26077.361481684024</c:v>
                </c:pt>
                <c:pt idx="57">
                  <c:v>-26718.650332621288</c:v>
                </c:pt>
                <c:pt idx="58">
                  <c:v>-27328.891664021692</c:v>
                </c:pt>
                <c:pt idx="59">
                  <c:v>-27907.480728656144</c:v>
                </c:pt>
                <c:pt idx="60">
                  <c:v>-28454.082705672379</c:v>
                </c:pt>
                <c:pt idx="61">
                  <c:v>-28968.619156523098</c:v>
                </c:pt>
                <c:pt idx="62">
                  <c:v>-29451.251651771148</c:v>
                </c:pt>
                <c:pt idx="63">
                  <c:v>-29902.363077135149</c:v>
                </c:pt>
                <c:pt idx="64">
                  <c:v>-30322.537137645777</c:v>
                </c:pt>
                <c:pt idx="65">
                  <c:v>-30712.536575256265</c:v>
                </c:pt>
                <c:pt idx="66">
                  <c:v>-31073.280599038488</c:v>
                </c:pt>
                <c:pt idx="67">
                  <c:v>-31405.821999829608</c:v>
                </c:pt>
                <c:pt idx="68">
                  <c:v>-31711.324384700809</c:v>
                </c:pt>
                <c:pt idx="69">
                  <c:v>-31991.039922841865</c:v>
                </c:pt>
                <c:pt idx="70">
                  <c:v>-32246.28794536534</c:v>
                </c:pt>
                <c:pt idx="71">
                  <c:v>-32478.434689063724</c:v>
                </c:pt>
                <c:pt idx="72">
                  <c:v>-32688.874420131717</c:v>
                </c:pt>
                <c:pt idx="73">
                  <c:v>-32879.012119964544</c:v>
                </c:pt>
                <c:pt idx="74">
                  <c:v>-33050.247862840719</c:v>
                </c:pt>
                <c:pt idx="75">
                  <c:v>-33203.962965845829</c:v>
                </c:pt>
                <c:pt idx="76">
                  <c:v>-33341.50794580928</c:v>
                </c:pt>
                <c:pt idx="77">
                  <c:v>-33464.19227707848</c:v>
                </c:pt>
                <c:pt idx="78">
                  <c:v>-33573.275908178417</c:v>
                </c:pt>
                <c:pt idx="79">
                  <c:v>-33669.962465104567</c:v>
                </c:pt>
                <c:pt idx="80">
                  <c:v>-33755.394044276458</c:v>
                </c:pt>
                <c:pt idx="81">
                  <c:v>-33830.647478956715</c:v>
                </c:pt>
                <c:pt idx="82">
                  <c:v>-33896.731948983143</c:v>
                </c:pt>
                <c:pt idx="83">
                  <c:v>-33954.587794611958</c:v>
                </c:pt>
                <c:pt idx="84">
                  <c:v>-34005.086390676486</c:v>
                </c:pt>
                <c:pt idx="85">
                  <c:v>-34049.030936610237</c:v>
                </c:pt>
                <c:pt idx="86">
                  <c:v>-34087.158020608673</c:v>
                </c:pt>
                <c:pt idx="87">
                  <c:v>-34120.139821739067</c:v>
                </c:pt>
                <c:pt idx="88">
                  <c:v>-34148.586821585974</c:v>
                </c:pt>
                <c:pt idx="89">
                  <c:v>-34173.050906497418</c:v>
                </c:pt>
                <c:pt idx="90">
                  <c:v>-34194.0287521676</c:v>
                </c:pt>
                <c:pt idx="91">
                  <c:v>-34211.965393696133</c:v>
                </c:pt>
                <c:pt idx="92">
                  <c:v>-34227.257895994757</c:v>
                </c:pt>
                <c:pt idx="93">
                  <c:v>-34240.25905112263</c:v>
                </c:pt>
                <c:pt idx="94">
                  <c:v>-34251.281040530281</c:v>
                </c:pt>
                <c:pt idx="95">
                  <c:v>-34260.599011048624</c:v>
                </c:pt>
                <c:pt idx="96">
                  <c:v>-34268.454523595887</c:v>
                </c:pt>
                <c:pt idx="97">
                  <c:v>-34275.058842866645</c:v>
                </c:pt>
                <c:pt idx="98">
                  <c:v>-34280.596044631202</c:v>
                </c:pt>
                <c:pt idx="99">
                  <c:v>-34285.225924671628</c:v>
                </c:pt>
                <c:pt idx="100">
                  <c:v>-34289.086699804851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5D-4C4A-874A-44F74FA7E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459984"/>
        <c:axId val="1023457584"/>
      </c:scatterChart>
      <c:valAx>
        <c:axId val="102345998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7584"/>
        <c:crosses val="autoZero"/>
        <c:crossBetween val="midCat"/>
        <c:majorUnit val="1000"/>
      </c:valAx>
      <c:valAx>
        <c:axId val="1023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345998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Strike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各パラメータごとの形状_Bachelier!$B$45</c:f>
              <c:strCache>
                <c:ptCount val="1"/>
                <c:pt idx="0">
                  <c:v>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各パラメータごとの形状_Bachelier!$C$46:$C$66</c:f>
              <c:numCache>
                <c:formatCode>General</c:formatCode>
                <c:ptCount val="21"/>
                <c:pt idx="0">
                  <c:v>2</c:v>
                </c:pt>
                <c:pt idx="1">
                  <c:v>1.8</c:v>
                </c:pt>
                <c:pt idx="2">
                  <c:v>1.6</c:v>
                </c:pt>
                <c:pt idx="3">
                  <c:v>1.4</c:v>
                </c:pt>
                <c:pt idx="4">
                  <c:v>1.2</c:v>
                </c:pt>
                <c:pt idx="5">
                  <c:v>1</c:v>
                </c:pt>
                <c:pt idx="6">
                  <c:v>0.8</c:v>
                </c:pt>
                <c:pt idx="7">
                  <c:v>0.6</c:v>
                </c:pt>
                <c:pt idx="8">
                  <c:v>0.4</c:v>
                </c:pt>
                <c:pt idx="9">
                  <c:v>0.2</c:v>
                </c:pt>
                <c:pt idx="10">
                  <c:v>0</c:v>
                </c:pt>
                <c:pt idx="11">
                  <c:v>-0.2</c:v>
                </c:pt>
                <c:pt idx="12">
                  <c:v>-0.4</c:v>
                </c:pt>
                <c:pt idx="13">
                  <c:v>-0.6</c:v>
                </c:pt>
                <c:pt idx="14">
                  <c:v>-0.8</c:v>
                </c:pt>
                <c:pt idx="15">
                  <c:v>-1</c:v>
                </c:pt>
                <c:pt idx="16">
                  <c:v>-1.2</c:v>
                </c:pt>
                <c:pt idx="17">
                  <c:v>-1.4</c:v>
                </c:pt>
                <c:pt idx="18">
                  <c:v>-1.6</c:v>
                </c:pt>
                <c:pt idx="19">
                  <c:v>-1.8</c:v>
                </c:pt>
                <c:pt idx="20">
                  <c:v>-2</c:v>
                </c:pt>
              </c:numCache>
            </c:numRef>
          </c:xVal>
          <c:yVal>
            <c:numRef>
              <c:f>各パラメータごとの形状_Bachelier!$D$46:$D$66</c:f>
              <c:numCache>
                <c:formatCode>0.000000</c:formatCode>
                <c:ptCount val="21"/>
                <c:pt idx="0">
                  <c:v>0.19552134698772794</c:v>
                </c:pt>
                <c:pt idx="1">
                  <c:v>0.30897765578847364</c:v>
                </c:pt>
                <c:pt idx="2">
                  <c:v>0.45099295491546398</c:v>
                </c:pt>
                <c:pt idx="3">
                  <c:v>0.61561497786516362</c:v>
                </c:pt>
                <c:pt idx="4">
                  <c:v>0.79554981172519912</c:v>
                </c:pt>
                <c:pt idx="5">
                  <c:v>0.98435996102698453</c:v>
                </c:pt>
                <c:pt idx="6">
                  <c:v>1.1775716958050644</c:v>
                </c:pt>
                <c:pt idx="7">
                  <c:v>1.3726511506955719</c:v>
                </c:pt>
                <c:pt idx="8">
                  <c:v>1.5684086666246713</c:v>
                </c:pt>
                <c:pt idx="9">
                  <c:v>1.7643767802300336</c:v>
                </c:pt>
                <c:pt idx="10">
                  <c:v>1.9604008484999285</c:v>
                </c:pt>
                <c:pt idx="11">
                  <c:v>2.1564376337531086</c:v>
                </c:pt>
                <c:pt idx="12">
                  <c:v>2.3524768910801845</c:v>
                </c:pt>
                <c:pt idx="13">
                  <c:v>2.5485165593964965</c:v>
                </c:pt>
                <c:pt idx="14">
                  <c:v>2.7445562861448671</c:v>
                </c:pt>
                <c:pt idx="15">
                  <c:v>2.9405960199968959</c:v>
                </c:pt>
                <c:pt idx="16">
                  <c:v>3.1366357545873056</c:v>
                </c:pt>
                <c:pt idx="17">
                  <c:v>3.3326754892433299</c:v>
                </c:pt>
                <c:pt idx="18">
                  <c:v>3.5287152239043387</c:v>
                </c:pt>
                <c:pt idx="19">
                  <c:v>3.7247549585656712</c:v>
                </c:pt>
                <c:pt idx="20">
                  <c:v>3.920794693227021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13-4BD5-B519-3B08CFFCF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26256"/>
        <c:axId val="2040815696"/>
      </c:scatterChart>
      <c:valAx>
        <c:axId val="2040826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15696"/>
        <c:crosses val="autoZero"/>
        <c:crossBetween val="midCat"/>
      </c:valAx>
      <c:valAx>
        <c:axId val="204081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82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Stock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883652028928003"/>
          <c:y val="0.14537915496435297"/>
          <c:w val="0.8243922985853519"/>
          <c:h val="0.7640057405635628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各パラメータごとの形状_Bachelier!$G$46:$G$66</c:f>
              <c:strCache>
                <c:ptCount val="21"/>
                <c:pt idx="0">
                  <c:v>2</c:v>
                </c:pt>
                <c:pt idx="1">
                  <c:v>1.8</c:v>
                </c:pt>
                <c:pt idx="2">
                  <c:v>1.6</c:v>
                </c:pt>
                <c:pt idx="3">
                  <c:v>1.4</c:v>
                </c:pt>
                <c:pt idx="4">
                  <c:v>1.2</c:v>
                </c:pt>
                <c:pt idx="5">
                  <c:v>1</c:v>
                </c:pt>
                <c:pt idx="6">
                  <c:v>0.8</c:v>
                </c:pt>
                <c:pt idx="7">
                  <c:v>0.6</c:v>
                </c:pt>
                <c:pt idx="8">
                  <c:v>0.4</c:v>
                </c:pt>
                <c:pt idx="9">
                  <c:v>0.2</c:v>
                </c:pt>
                <c:pt idx="10">
                  <c:v>0</c:v>
                </c:pt>
                <c:pt idx="11">
                  <c:v>-0.2</c:v>
                </c:pt>
                <c:pt idx="12">
                  <c:v>-0.4</c:v>
                </c:pt>
                <c:pt idx="13">
                  <c:v>-0.6</c:v>
                </c:pt>
                <c:pt idx="14">
                  <c:v>-0.8</c:v>
                </c:pt>
                <c:pt idx="15">
                  <c:v>-1</c:v>
                </c:pt>
                <c:pt idx="16">
                  <c:v>-1.2</c:v>
                </c:pt>
                <c:pt idx="17">
                  <c:v>-1.4</c:v>
                </c:pt>
                <c:pt idx="18">
                  <c:v>-1.6</c:v>
                </c:pt>
                <c:pt idx="19">
                  <c:v>-1.8</c:v>
                </c:pt>
                <c:pt idx="20">
                  <c:v>-2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各パラメータごとの形状_Bachelier!$G$46:$G$66</c:f>
              <c:numCache>
                <c:formatCode>General</c:formatCode>
                <c:ptCount val="21"/>
                <c:pt idx="0">
                  <c:v>2</c:v>
                </c:pt>
                <c:pt idx="1">
                  <c:v>1.8</c:v>
                </c:pt>
                <c:pt idx="2">
                  <c:v>1.6</c:v>
                </c:pt>
                <c:pt idx="3">
                  <c:v>1.4</c:v>
                </c:pt>
                <c:pt idx="4">
                  <c:v>1.2</c:v>
                </c:pt>
                <c:pt idx="5">
                  <c:v>1</c:v>
                </c:pt>
                <c:pt idx="6">
                  <c:v>0.8</c:v>
                </c:pt>
                <c:pt idx="7">
                  <c:v>0.6</c:v>
                </c:pt>
                <c:pt idx="8">
                  <c:v>0.4</c:v>
                </c:pt>
                <c:pt idx="9">
                  <c:v>0.2</c:v>
                </c:pt>
                <c:pt idx="10">
                  <c:v>0</c:v>
                </c:pt>
                <c:pt idx="11">
                  <c:v>-0.2</c:v>
                </c:pt>
                <c:pt idx="12">
                  <c:v>-0.4</c:v>
                </c:pt>
                <c:pt idx="13">
                  <c:v>-0.6</c:v>
                </c:pt>
                <c:pt idx="14">
                  <c:v>-0.8</c:v>
                </c:pt>
                <c:pt idx="15">
                  <c:v>-1</c:v>
                </c:pt>
                <c:pt idx="16">
                  <c:v>-1.2</c:v>
                </c:pt>
                <c:pt idx="17">
                  <c:v>-1.4</c:v>
                </c:pt>
                <c:pt idx="18">
                  <c:v>-1.6</c:v>
                </c:pt>
                <c:pt idx="19">
                  <c:v>-1.8</c:v>
                </c:pt>
                <c:pt idx="20">
                  <c:v>-2</c:v>
                </c:pt>
              </c:numCache>
            </c:numRef>
          </c:xVal>
          <c:yVal>
            <c:numRef>
              <c:f>各パラメータごとの形状_Bachelier!$H$46:$H$66</c:f>
              <c:numCache>
                <c:formatCode>0.000000</c:formatCode>
                <c:ptCount val="21"/>
                <c:pt idx="0">
                  <c:v>1.9604008484999285</c:v>
                </c:pt>
                <c:pt idx="1">
                  <c:v>1.7643767802300336</c:v>
                </c:pt>
                <c:pt idx="2">
                  <c:v>1.5684086666246713</c:v>
                </c:pt>
                <c:pt idx="3">
                  <c:v>1.3726511506955719</c:v>
                </c:pt>
                <c:pt idx="4">
                  <c:v>1.1775716958050644</c:v>
                </c:pt>
                <c:pt idx="5">
                  <c:v>0.98435996102698453</c:v>
                </c:pt>
                <c:pt idx="6">
                  <c:v>0.79554981172519912</c:v>
                </c:pt>
                <c:pt idx="7">
                  <c:v>0.61561497786516362</c:v>
                </c:pt>
                <c:pt idx="8">
                  <c:v>0.45099295491546404</c:v>
                </c:pt>
                <c:pt idx="9">
                  <c:v>0.30897765578847364</c:v>
                </c:pt>
                <c:pt idx="10">
                  <c:v>0.19552134698772794</c:v>
                </c:pt>
                <c:pt idx="11">
                  <c:v>0.11293792112712257</c:v>
                </c:pt>
                <c:pt idx="12">
                  <c:v>5.8913485592761952E-2</c:v>
                </c:pt>
                <c:pt idx="13">
                  <c:v>2.7495773881110408E-2</c:v>
                </c:pt>
                <c:pt idx="14">
                  <c:v>1.139087307979484E-2</c:v>
                </c:pt>
                <c:pt idx="15">
                  <c:v>4.1612877202293237E-3</c:v>
                </c:pt>
                <c:pt idx="16">
                  <c:v>1.333287836958163E-3</c:v>
                </c:pt>
                <c:pt idx="17">
                  <c:v>3.730080661145776E-4</c:v>
                </c:pt>
                <c:pt idx="18">
                  <c:v>9.0789333862897575E-5</c:v>
                </c:pt>
                <c:pt idx="19">
                  <c:v>1.9168277874260128E-5</c:v>
                </c:pt>
                <c:pt idx="20">
                  <c:v>3.5018864179391046E-6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23-42FC-A28F-2DE3649A1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03071"/>
        <c:axId val="95427551"/>
      </c:scatterChart>
      <c:valAx>
        <c:axId val="95403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27551"/>
        <c:crosses val="autoZero"/>
        <c:crossBetween val="midCat"/>
      </c:valAx>
      <c:valAx>
        <c:axId val="9542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3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各パラメータごとの形状_Bachelier!$E$30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各パラメータごとの形状_Bachelier!$C$31:$C$43</c:f>
              <c:numCache>
                <c:formatCode>General</c:formatCode>
                <c:ptCount val="13"/>
                <c:pt idx="0">
                  <c:v>1</c:v>
                </c:pt>
                <c:pt idx="1">
                  <c:v>0.91666666666666663</c:v>
                </c:pt>
                <c:pt idx="2">
                  <c:v>0.83333333333333326</c:v>
                </c:pt>
                <c:pt idx="3">
                  <c:v>0.74999999999999989</c:v>
                </c:pt>
                <c:pt idx="4">
                  <c:v>0.66666666666666652</c:v>
                </c:pt>
                <c:pt idx="5">
                  <c:v>0.58333333333333315</c:v>
                </c:pt>
                <c:pt idx="6">
                  <c:v>0.49999999999999983</c:v>
                </c:pt>
                <c:pt idx="7">
                  <c:v>0.41666666666666652</c:v>
                </c:pt>
                <c:pt idx="8">
                  <c:v>0.3333333333333332</c:v>
                </c:pt>
                <c:pt idx="9">
                  <c:v>0.24999999999999989</c:v>
                </c:pt>
                <c:pt idx="10">
                  <c:v>0.16666666666666657</c:v>
                </c:pt>
                <c:pt idx="11">
                  <c:v>8.3333333333333245E-2</c:v>
                </c:pt>
                <c:pt idx="12">
                  <c:v>0</c:v>
                </c:pt>
              </c:numCache>
            </c:numRef>
          </c:xVal>
          <c:yVal>
            <c:numRef>
              <c:f>各パラメータごとの形状_Bachelier!$E$31:$E$43</c:f>
              <c:numCache>
                <c:formatCode>0.000000</c:formatCode>
                <c:ptCount val="13"/>
                <c:pt idx="0">
                  <c:v>1.9604008484999285</c:v>
                </c:pt>
                <c:pt idx="1">
                  <c:v>1.9636689044521789</c:v>
                </c:pt>
                <c:pt idx="2">
                  <c:v>1.9669434598444544</c:v>
                </c:pt>
                <c:pt idx="3">
                  <c:v>1.9702240436829763</c:v>
                </c:pt>
                <c:pt idx="4">
                  <c:v>1.9735103604554096</c:v>
                </c:pt>
                <c:pt idx="5">
                  <c:v>1.9768022555049405</c:v>
                </c:pt>
                <c:pt idx="6">
                  <c:v>1.980099667949339</c:v>
                </c:pt>
                <c:pt idx="7">
                  <c:v>1.9834025852919459</c:v>
                </c:pt>
                <c:pt idx="8">
                  <c:v>1.9867110125101537</c:v>
                </c:pt>
                <c:pt idx="9">
                  <c:v>1.9900249583853646</c:v>
                </c:pt>
                <c:pt idx="10">
                  <c:v>1.9933444321090465</c:v>
                </c:pt>
                <c:pt idx="11">
                  <c:v>1.9966694429018774</c:v>
                </c:pt>
                <c:pt idx="12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30-4E8B-90E0-9813E22321CC}"/>
            </c:ext>
          </c:extLst>
        </c:ser>
        <c:ser>
          <c:idx val="1"/>
          <c:order val="1"/>
          <c:tx>
            <c:strRef>
              <c:f>各パラメータごとの形状_Bachelier!$F$30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各パラメータごとの形状_Bachelier!$C$31:$C$43</c:f>
              <c:numCache>
                <c:formatCode>General</c:formatCode>
                <c:ptCount val="13"/>
                <c:pt idx="0">
                  <c:v>1</c:v>
                </c:pt>
                <c:pt idx="1">
                  <c:v>0.91666666666666663</c:v>
                </c:pt>
                <c:pt idx="2">
                  <c:v>0.83333333333333326</c:v>
                </c:pt>
                <c:pt idx="3">
                  <c:v>0.74999999999999989</c:v>
                </c:pt>
                <c:pt idx="4">
                  <c:v>0.66666666666666652</c:v>
                </c:pt>
                <c:pt idx="5">
                  <c:v>0.58333333333333315</c:v>
                </c:pt>
                <c:pt idx="6">
                  <c:v>0.49999999999999983</c:v>
                </c:pt>
                <c:pt idx="7">
                  <c:v>0.41666666666666652</c:v>
                </c:pt>
                <c:pt idx="8">
                  <c:v>0.3333333333333332</c:v>
                </c:pt>
                <c:pt idx="9">
                  <c:v>0.24999999999999989</c:v>
                </c:pt>
                <c:pt idx="10">
                  <c:v>0.16666666666666657</c:v>
                </c:pt>
                <c:pt idx="11">
                  <c:v>8.3333333333333245E-2</c:v>
                </c:pt>
                <c:pt idx="12">
                  <c:v>0</c:v>
                </c:pt>
              </c:numCache>
            </c:numRef>
          </c:xVal>
          <c:yVal>
            <c:numRef>
              <c:f>各パラメータごとの形状_Bachelier!$F$31:$F$43</c:f>
              <c:numCache>
                <c:formatCode>0.000000</c:formatCode>
                <c:ptCount val="13"/>
                <c:pt idx="0">
                  <c:v>0.19552134698772794</c:v>
                </c:pt>
                <c:pt idx="1">
                  <c:v>0.18750969362161291</c:v>
                </c:pt>
                <c:pt idx="2">
                  <c:v>0.17908169890081976</c:v>
                </c:pt>
                <c:pt idx="3">
                  <c:v>0.17017520585360887</c:v>
                </c:pt>
                <c:pt idx="4">
                  <c:v>0.16071035023072267</c:v>
                </c:pt>
                <c:pt idx="5">
                  <c:v>0.15058152745550921</c:v>
                </c:pt>
                <c:pt idx="6">
                  <c:v>0.13964395084861711</c:v>
                </c:pt>
                <c:pt idx="7">
                  <c:v>0.12768954181981579</c:v>
                </c:pt>
                <c:pt idx="8">
                  <c:v>0.11439950525208364</c:v>
                </c:pt>
                <c:pt idx="9">
                  <c:v>9.9238136869252924E-2</c:v>
                </c:pt>
                <c:pt idx="10">
                  <c:v>8.1162758051348274E-2</c:v>
                </c:pt>
                <c:pt idx="11">
                  <c:v>5.7486467579232425E-2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30-4E8B-90E0-9813E22321CC}"/>
            </c:ext>
          </c:extLst>
        </c:ser>
        <c:ser>
          <c:idx val="2"/>
          <c:order val="2"/>
          <c:tx>
            <c:strRef>
              <c:f>各パラメータごとの形状_Bachelier!$G$30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各パラメータごとの形状_Bachelier!$C$31:$C$43</c:f>
              <c:numCache>
                <c:formatCode>General</c:formatCode>
                <c:ptCount val="13"/>
                <c:pt idx="0">
                  <c:v>1</c:v>
                </c:pt>
                <c:pt idx="1">
                  <c:v>0.91666666666666663</c:v>
                </c:pt>
                <c:pt idx="2">
                  <c:v>0.83333333333333326</c:v>
                </c:pt>
                <c:pt idx="3">
                  <c:v>0.74999999999999989</c:v>
                </c:pt>
                <c:pt idx="4">
                  <c:v>0.66666666666666652</c:v>
                </c:pt>
                <c:pt idx="5">
                  <c:v>0.58333333333333315</c:v>
                </c:pt>
                <c:pt idx="6">
                  <c:v>0.49999999999999983</c:v>
                </c:pt>
                <c:pt idx="7">
                  <c:v>0.41666666666666652</c:v>
                </c:pt>
                <c:pt idx="8">
                  <c:v>0.3333333333333332</c:v>
                </c:pt>
                <c:pt idx="9">
                  <c:v>0.24999999999999989</c:v>
                </c:pt>
                <c:pt idx="10">
                  <c:v>0.16666666666666657</c:v>
                </c:pt>
                <c:pt idx="11">
                  <c:v>8.3333333333333245E-2</c:v>
                </c:pt>
                <c:pt idx="12">
                  <c:v>0</c:v>
                </c:pt>
              </c:numCache>
            </c:numRef>
          </c:xVal>
          <c:yVal>
            <c:numRef>
              <c:f>各パラメータごとの形状_Bachelier!$G$31:$G$43</c:f>
              <c:numCache>
                <c:formatCode>0.000000</c:formatCode>
                <c:ptCount val="13"/>
                <c:pt idx="0">
                  <c:v>3.5018864179391046E-6</c:v>
                </c:pt>
                <c:pt idx="1">
                  <c:v>1.5046402706020771E-6</c:v>
                </c:pt>
                <c:pt idx="2">
                  <c:v>5.522012194293708E-7</c:v>
                </c:pt>
                <c:pt idx="3">
                  <c:v>1.644768509554482E-7</c:v>
                </c:pt>
                <c:pt idx="4">
                  <c:v>3.6841018253599856E-8</c:v>
                </c:pt>
                <c:pt idx="5">
                  <c:v>5.5078929130925967E-9</c:v>
                </c:pt>
                <c:pt idx="6">
                  <c:v>4.5100278619653763E-10</c:v>
                </c:pt>
                <c:pt idx="7">
                  <c:v>1.4193916535476244E-11</c:v>
                </c:pt>
                <c:pt idx="8">
                  <c:v>8.4863748823878237E-14</c:v>
                </c:pt>
                <c:pt idx="9">
                  <c:v>1.8781513302665006E-17</c:v>
                </c:pt>
                <c:pt idx="10">
                  <c:v>1.1690754885663348E-24</c:v>
                </c:pt>
                <c:pt idx="11">
                  <c:v>5.9886362897079218E-46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30-4E8B-90E0-9813E2232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191999"/>
        <c:axId val="123193919"/>
      </c:scatterChart>
      <c:valAx>
        <c:axId val="123191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193919"/>
        <c:crosses val="autoZero"/>
        <c:crossBetween val="midCat"/>
      </c:valAx>
      <c:valAx>
        <c:axId val="12319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19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各パラメータごとの形状_Bachelier!$M$30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各パラメータごとの形状_Bachelier!$K$31:$K$41</c:f>
              <c:numCache>
                <c:formatCode>General</c:formatCode>
                <c:ptCount val="11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</c:numCache>
            </c:numRef>
          </c:xVal>
          <c:yVal>
            <c:numRef>
              <c:f>各パラメータごとの形状_Bachelier!$M$31:$M$41</c:f>
              <c:numCache>
                <c:formatCode>0.000000</c:formatCode>
                <c:ptCount val="11"/>
                <c:pt idx="0">
                  <c:v>1.7009343609226901</c:v>
                </c:pt>
                <c:pt idx="1">
                  <c:v>1.7236574878778264</c:v>
                </c:pt>
                <c:pt idx="2">
                  <c:v>1.7471116734753458</c:v>
                </c:pt>
                <c:pt idx="3">
                  <c:v>1.7715201791392685</c:v>
                </c:pt>
                <c:pt idx="4">
                  <c:v>1.7971879798294608</c:v>
                </c:pt>
                <c:pt idx="5">
                  <c:v>1.8245266940891944</c:v>
                </c:pt>
                <c:pt idx="6">
                  <c:v>1.8540705991511748</c:v>
                </c:pt>
                <c:pt idx="7">
                  <c:v>1.8864342134970893</c:v>
                </c:pt>
                <c:pt idx="8">
                  <c:v>1.9220487152525347</c:v>
                </c:pt>
                <c:pt idx="9">
                  <c:v>1.9604008484999285</c:v>
                </c:pt>
                <c:pt idx="1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51-4F8E-B596-ADA538382C67}"/>
            </c:ext>
          </c:extLst>
        </c:ser>
        <c:ser>
          <c:idx val="1"/>
          <c:order val="1"/>
          <c:tx>
            <c:strRef>
              <c:f>各パラメータごとの形状_Bachelier!$N$30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各パラメータごとの形状_Bachelier!$K$31:$K$41</c:f>
              <c:numCache>
                <c:formatCode>General</c:formatCode>
                <c:ptCount val="11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</c:numCache>
            </c:numRef>
          </c:xVal>
          <c:yVal>
            <c:numRef>
              <c:f>各パラメータごとの形状_Bachelier!$N$31:$N$41</c:f>
              <c:numCache>
                <c:formatCode>0.000000</c:formatCode>
                <c:ptCount val="11"/>
                <c:pt idx="0">
                  <c:v>0.51644154746727833</c:v>
                </c:pt>
                <c:pt idx="1">
                  <c:v>0.49983690433769945</c:v>
                </c:pt>
                <c:pt idx="2">
                  <c:v>0.48077064941965397</c:v>
                </c:pt>
                <c:pt idx="3">
                  <c:v>0.45880470478411628</c:v>
                </c:pt>
                <c:pt idx="4">
                  <c:v>0.43335155323803787</c:v>
                </c:pt>
                <c:pt idx="5">
                  <c:v>0.40358556467884049</c:v>
                </c:pt>
                <c:pt idx="6">
                  <c:v>0.36827014030332333</c:v>
                </c:pt>
                <c:pt idx="7">
                  <c:v>0.32537413653295899</c:v>
                </c:pt>
                <c:pt idx="8">
                  <c:v>0.2710336967762158</c:v>
                </c:pt>
                <c:pt idx="9">
                  <c:v>0.19552134698772794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51-4F8E-B596-ADA538382C67}"/>
            </c:ext>
          </c:extLst>
        </c:ser>
        <c:ser>
          <c:idx val="2"/>
          <c:order val="2"/>
          <c:tx>
            <c:strRef>
              <c:f>各パラメータごとの形状_Bachelier!$O$30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各パラメータごとの形状_Bachelier!$K$31:$K$41</c:f>
              <c:numCache>
                <c:formatCode>General</c:formatCode>
                <c:ptCount val="11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</c:numCache>
            </c:numRef>
          </c:xVal>
          <c:yVal>
            <c:numRef>
              <c:f>各パラメータごとの形状_Bachelier!$O$31:$O$41</c:f>
              <c:numCache>
                <c:formatCode>0.000000</c:formatCode>
                <c:ptCount val="11"/>
                <c:pt idx="0">
                  <c:v>6.3472854766726441E-2</c:v>
                </c:pt>
                <c:pt idx="1">
                  <c:v>5.311706505528227E-2</c:v>
                </c:pt>
                <c:pt idx="2">
                  <c:v>4.2824095542923171E-2</c:v>
                </c:pt>
                <c:pt idx="3">
                  <c:v>3.2803708341656627E-2</c:v>
                </c:pt>
                <c:pt idx="4">
                  <c:v>2.334710639514577E-2</c:v>
                </c:pt>
                <c:pt idx="5">
                  <c:v>1.485185801727552E-2</c:v>
                </c:pt>
                <c:pt idx="6">
                  <c:v>7.8379063779032612E-3</c:v>
                </c:pt>
                <c:pt idx="7">
                  <c:v>2.9051463285917653E-3</c:v>
                </c:pt>
                <c:pt idx="8">
                  <c:v>4.6983694788824609E-4</c:v>
                </c:pt>
                <c:pt idx="9">
                  <c:v>3.5018864179391046E-6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51-4F8E-B596-ADA538382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191999"/>
        <c:axId val="123193919"/>
      </c:scatterChart>
      <c:valAx>
        <c:axId val="123191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193919"/>
        <c:crosses val="autoZero"/>
        <c:crossBetween val="midCat"/>
      </c:valAx>
      <c:valAx>
        <c:axId val="12319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19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sigma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各パラメータごとの形状_Bachelier!$C$12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各パラメータごとの形状_Bachelier!$B$13:$B$28</c:f>
              <c:numCache>
                <c:formatCode>General</c:formatCode>
                <c:ptCount val="1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</c:numCache>
            </c:numRef>
          </c:xVal>
          <c:yVal>
            <c:numRef>
              <c:f>各パラメータごとの形状_Bachelier!$C$13:$C$28</c:f>
              <c:numCache>
                <c:formatCode>0.000000</c:formatCode>
                <c:ptCount val="16"/>
                <c:pt idx="0">
                  <c:v>1.9603973466135105</c:v>
                </c:pt>
                <c:pt idx="1">
                  <c:v>1.9603973466135105</c:v>
                </c:pt>
                <c:pt idx="2">
                  <c:v>1.9603973466140641</c:v>
                </c:pt>
                <c:pt idx="3">
                  <c:v>1.9603973675747279</c:v>
                </c:pt>
                <c:pt idx="4">
                  <c:v>1.9604008484999285</c:v>
                </c:pt>
                <c:pt idx="5">
                  <c:v>1.9604632617703945</c:v>
                </c:pt>
                <c:pt idx="6">
                  <c:v>1.9608277868170856</c:v>
                </c:pt>
                <c:pt idx="7">
                  <c:v>1.9619689086967955</c:v>
                </c:pt>
                <c:pt idx="8">
                  <c:v>1.9644436013945452</c:v>
                </c:pt>
                <c:pt idx="9">
                  <c:v>1.9687199220539691</c:v>
                </c:pt>
                <c:pt idx="10">
                  <c:v>1.9750990865355194</c:v>
                </c:pt>
                <c:pt idx="11">
                  <c:v>1.9837180981869647</c:v>
                </c:pt>
                <c:pt idx="12">
                  <c:v>1.9945872961872071</c:v>
                </c:pt>
                <c:pt idx="13">
                  <c:v>2.0076326862842881</c:v>
                </c:pt>
                <c:pt idx="14">
                  <c:v>2.0227307998910633</c:v>
                </c:pt>
                <c:pt idx="15">
                  <c:v>2.039733636533108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B4-4CD6-8F2D-7432B073DF90}"/>
            </c:ext>
          </c:extLst>
        </c:ser>
        <c:ser>
          <c:idx val="1"/>
          <c:order val="1"/>
          <c:tx>
            <c:strRef>
              <c:f>各パラメータごとの形状_Bachelier!$D$12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各パラメータごとの形状_Bachelier!$B$13:$B$28</c:f>
              <c:numCache>
                <c:formatCode>General</c:formatCode>
                <c:ptCount val="1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</c:numCache>
            </c:numRef>
          </c:xVal>
          <c:yVal>
            <c:numRef>
              <c:f>各パラメータごとの形状_Bachelier!$D$13:$D$28</c:f>
              <c:numCache>
                <c:formatCode>0.000000</c:formatCode>
                <c:ptCount val="16"/>
                <c:pt idx="0">
                  <c:v>3.9104269397545591E-2</c:v>
                </c:pt>
                <c:pt idx="1">
                  <c:v>7.8208538795091181E-2</c:v>
                </c:pt>
                <c:pt idx="2">
                  <c:v>0.11731280819263676</c:v>
                </c:pt>
                <c:pt idx="3">
                  <c:v>0.15641707759018236</c:v>
                </c:pt>
                <c:pt idx="4">
                  <c:v>0.19552134698772794</c:v>
                </c:pt>
                <c:pt idx="5">
                  <c:v>0.23462561638527352</c:v>
                </c:pt>
                <c:pt idx="6">
                  <c:v>0.27372988578281909</c:v>
                </c:pt>
                <c:pt idx="7">
                  <c:v>0.31283415518036473</c:v>
                </c:pt>
                <c:pt idx="8">
                  <c:v>0.3519384245779103</c:v>
                </c:pt>
                <c:pt idx="9">
                  <c:v>0.39104269397545588</c:v>
                </c:pt>
                <c:pt idx="10">
                  <c:v>0.43014696337300151</c:v>
                </c:pt>
                <c:pt idx="11">
                  <c:v>0.46925123277054703</c:v>
                </c:pt>
                <c:pt idx="12">
                  <c:v>0.50835550216809267</c:v>
                </c:pt>
                <c:pt idx="13">
                  <c:v>0.54745977156563819</c:v>
                </c:pt>
                <c:pt idx="14">
                  <c:v>0.58656404096318382</c:v>
                </c:pt>
                <c:pt idx="15">
                  <c:v>0.62566831036072945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B4-4CD6-8F2D-7432B073DF90}"/>
            </c:ext>
          </c:extLst>
        </c:ser>
        <c:ser>
          <c:idx val="2"/>
          <c:order val="2"/>
          <c:tx>
            <c:strRef>
              <c:f>各パラメータごとの形状_Bachelier!$E$12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各パラメータごとの形状_Bachelier!$B$13:$B$28</c:f>
              <c:numCache>
                <c:formatCode>General</c:formatCode>
                <c:ptCount val="1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</c:numCache>
            </c:numRef>
          </c:xVal>
          <c:yVal>
            <c:numRef>
              <c:f>各パラメータごとの形状_Bachelier!$E$13:$E$28</c:f>
              <c:numCache>
                <c:formatCode>0.000000</c:formatCode>
                <c:ptCount val="16"/>
                <c:pt idx="0">
                  <c:v>1.3428844297629166E-91</c:v>
                </c:pt>
                <c:pt idx="1">
                  <c:v>1.4653108090209839E-25</c:v>
                </c:pt>
                <c:pt idx="2">
                  <c:v>5.5366638700520931E-13</c:v>
                </c:pt>
                <c:pt idx="3">
                  <c:v>2.0961217454166068E-8</c:v>
                </c:pt>
                <c:pt idx="4">
                  <c:v>3.5018864179391046E-6</c:v>
                </c:pt>
                <c:pt idx="5">
                  <c:v>6.5915156883861189E-5</c:v>
                </c:pt>
                <c:pt idx="6">
                  <c:v>4.3044020357500774E-4</c:v>
                </c:pt>
                <c:pt idx="7">
                  <c:v>1.5715620832849704E-3</c:v>
                </c:pt>
                <c:pt idx="8">
                  <c:v>4.046254781034769E-3</c:v>
                </c:pt>
                <c:pt idx="9">
                  <c:v>8.3225754404586474E-3</c:v>
                </c:pt>
                <c:pt idx="10">
                  <c:v>1.4701739922008747E-2</c:v>
                </c:pt>
                <c:pt idx="11">
                  <c:v>2.3320751573454156E-2</c:v>
                </c:pt>
                <c:pt idx="12">
                  <c:v>3.4189949573696483E-2</c:v>
                </c:pt>
                <c:pt idx="13">
                  <c:v>4.7235339670777358E-2</c:v>
                </c:pt>
                <c:pt idx="14">
                  <c:v>6.2333453277552943E-2</c:v>
                </c:pt>
                <c:pt idx="15">
                  <c:v>7.93362899195975E-2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B4-4CD6-8F2D-7432B073D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799487"/>
        <c:axId val="1700799967"/>
      </c:scatterChart>
      <c:valAx>
        <c:axId val="1700799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00799967"/>
        <c:crosses val="autoZero"/>
        <c:crossBetween val="midCat"/>
      </c:valAx>
      <c:valAx>
        <c:axId val="1700799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00799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Sigma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各パラメータごとの形状_Bachelier!$H$12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各パラメータごとの形状_Bachelier!$G$13:$G$28</c:f>
              <c:numCache>
                <c:formatCode>General</c:formatCode>
                <c:ptCount val="1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</c:numCache>
            </c:numRef>
          </c:xVal>
          <c:yVal>
            <c:numRef>
              <c:f>各パラメータごとの形状_Bachelier!$H$13:$H$28</c:f>
              <c:numCache>
                <c:formatCode>General</c:formatCode>
                <c:ptCount val="16"/>
                <c:pt idx="0">
                  <c:v>3.0897765578847363</c:v>
                </c:pt>
                <c:pt idx="1">
                  <c:v>4.968574495794944</c:v>
                </c:pt>
                <c:pt idx="2">
                  <c:v>6.8979010029039314</c:v>
                </c:pt>
                <c:pt idx="3">
                  <c:v>8.8401242678800731</c:v>
                </c:pt>
                <c:pt idx="4">
                  <c:v>10.787532764394886</c:v>
                </c:pt>
                <c:pt idx="5">
                  <c:v>12.737539354416544</c:v>
                </c:pt>
                <c:pt idx="6">
                  <c:v>14.68903218087828</c:v>
                </c:pt>
                <c:pt idx="7">
                  <c:v>16.641454494680481</c:v>
                </c:pt>
                <c:pt idx="8">
                  <c:v>18.594496717203175</c:v>
                </c:pt>
                <c:pt idx="9">
                  <c:v>20.547972994611175</c:v>
                </c:pt>
                <c:pt idx="10">
                  <c:v>22.501765009577504</c:v>
                </c:pt>
                <c:pt idx="11">
                  <c:v>24.455793861512152</c:v>
                </c:pt>
                <c:pt idx="12">
                  <c:v>26.410004915416049</c:v>
                </c:pt>
                <c:pt idx="13">
                  <c:v>28.364359140005895</c:v>
                </c:pt>
                <c:pt idx="14">
                  <c:v>30.318827908738552</c:v>
                </c:pt>
                <c:pt idx="15">
                  <c:v>32.273389749554255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87-433A-BE45-0D7C85F93491}"/>
            </c:ext>
          </c:extLst>
        </c:ser>
        <c:ser>
          <c:idx val="1"/>
          <c:order val="1"/>
          <c:tx>
            <c:strRef>
              <c:f>各パラメータごとの形状_Bachelier!$I$12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各パラメータごとの形状_Bachelier!$G$13:$G$28</c:f>
              <c:numCache>
                <c:formatCode>General</c:formatCode>
                <c:ptCount val="1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</c:numCache>
            </c:numRef>
          </c:xVal>
          <c:yVal>
            <c:numRef>
              <c:f>各パラメータごとの形状_Bachelier!$I$13:$I$28</c:f>
              <c:numCache>
                <c:formatCode>General</c:formatCode>
                <c:ptCount val="16"/>
                <c:pt idx="0">
                  <c:v>1.9552134698772794</c:v>
                </c:pt>
                <c:pt idx="1">
                  <c:v>3.9104269397545588</c:v>
                </c:pt>
                <c:pt idx="2">
                  <c:v>5.8656404096318386</c:v>
                </c:pt>
                <c:pt idx="3">
                  <c:v>7.8208538795091176</c:v>
                </c:pt>
                <c:pt idx="4">
                  <c:v>9.7760673493863965</c:v>
                </c:pt>
                <c:pt idx="5">
                  <c:v>11.731280819263677</c:v>
                </c:pt>
                <c:pt idx="6">
                  <c:v>13.686494289140956</c:v>
                </c:pt>
                <c:pt idx="7">
                  <c:v>15.641707759018235</c:v>
                </c:pt>
                <c:pt idx="8">
                  <c:v>17.596921228895514</c:v>
                </c:pt>
                <c:pt idx="9">
                  <c:v>19.552134698772793</c:v>
                </c:pt>
                <c:pt idx="10">
                  <c:v>21.507348168650072</c:v>
                </c:pt>
                <c:pt idx="11">
                  <c:v>23.462561638527355</c:v>
                </c:pt>
                <c:pt idx="12">
                  <c:v>25.417775108404633</c:v>
                </c:pt>
                <c:pt idx="13">
                  <c:v>27.372988578281912</c:v>
                </c:pt>
                <c:pt idx="14">
                  <c:v>29.328202048159191</c:v>
                </c:pt>
                <c:pt idx="15">
                  <c:v>31.28341551803647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87-433A-BE45-0D7C85F93491}"/>
            </c:ext>
          </c:extLst>
        </c:ser>
        <c:ser>
          <c:idx val="2"/>
          <c:order val="2"/>
          <c:tx>
            <c:strRef>
              <c:f>各パラメータごとの形状_Bachelier!$J$12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各パラメータごとの形状_Bachelier!$G$13:$G$28</c:f>
              <c:numCache>
                <c:formatCode>General</c:formatCode>
                <c:ptCount val="1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</c:numCache>
            </c:numRef>
          </c:xVal>
          <c:yVal>
            <c:numRef>
              <c:f>各パラメータごとの形状_Bachelier!$J$13:$J$28</c:f>
              <c:numCache>
                <c:formatCode>General</c:formatCode>
                <c:ptCount val="16"/>
                <c:pt idx="0">
                  <c:v>1.1293792112712258</c:v>
                </c:pt>
                <c:pt idx="1">
                  <c:v>3.0081771491814338</c:v>
                </c:pt>
                <c:pt idx="2">
                  <c:v>4.9375036562904207</c:v>
                </c:pt>
                <c:pt idx="3">
                  <c:v>6.8797269212665624</c:v>
                </c:pt>
                <c:pt idx="4">
                  <c:v>8.8271354177813741</c:v>
                </c:pt>
                <c:pt idx="5">
                  <c:v>10.777142007803034</c:v>
                </c:pt>
                <c:pt idx="6">
                  <c:v>12.728634834264771</c:v>
                </c:pt>
                <c:pt idx="7">
                  <c:v>14.681057148066971</c:v>
                </c:pt>
                <c:pt idx="8">
                  <c:v>16.634099370589663</c:v>
                </c:pt>
                <c:pt idx="9">
                  <c:v>18.587575647997667</c:v>
                </c:pt>
                <c:pt idx="10">
                  <c:v>20.541367662963996</c:v>
                </c:pt>
                <c:pt idx="11">
                  <c:v>22.495396514898641</c:v>
                </c:pt>
                <c:pt idx="12">
                  <c:v>24.449607568802538</c:v>
                </c:pt>
                <c:pt idx="13">
                  <c:v>26.403961793392387</c:v>
                </c:pt>
                <c:pt idx="14">
                  <c:v>28.358430562125044</c:v>
                </c:pt>
                <c:pt idx="15">
                  <c:v>30.312992402940747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87-433A-BE45-0D7C85F93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443919"/>
        <c:axId val="1699441999"/>
      </c:scatterChart>
      <c:valAx>
        <c:axId val="1699443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99441999"/>
        <c:crosses val="autoZero"/>
        <c:crossBetween val="midCat"/>
      </c:valAx>
      <c:valAx>
        <c:axId val="169944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994439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rate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各パラメータごとの形状_Bachelier!$M$12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各パラメータごとの形状_Bachelier!$L$13:$L$28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各パラメータごとの形状_Bachelier!$M$13:$M$28</c:f>
              <c:numCache>
                <c:formatCode>General</c:formatCode>
                <c:ptCount val="16"/>
                <c:pt idx="0">
                  <c:v>1.9604008484999285</c:v>
                </c:pt>
                <c:pt idx="1">
                  <c:v>1.9408945341390822</c:v>
                </c:pt>
                <c:pt idx="2">
                  <c:v>1.9215823108490673</c:v>
                </c:pt>
                <c:pt idx="3">
                  <c:v>1.9024622473914614</c:v>
                </c:pt>
                <c:pt idx="4">
                  <c:v>1.883532431743985</c:v>
                </c:pt>
                <c:pt idx="5">
                  <c:v>1.8647909709092985</c:v>
                </c:pt>
                <c:pt idx="6">
                  <c:v>1.8462359907257007</c:v>
                </c:pt>
                <c:pt idx="7">
                  <c:v>1.8278656356797105</c:v>
                </c:pt>
                <c:pt idx="8">
                  <c:v>1.8096780687205147</c:v>
                </c:pt>
                <c:pt idx="9">
                  <c:v>1.7916714710762611</c:v>
                </c:pt>
                <c:pt idx="10">
                  <c:v>1.7738440420721797</c:v>
                </c:pt>
                <c:pt idx="11">
                  <c:v>1.7561939989505138</c:v>
                </c:pt>
                <c:pt idx="12">
                  <c:v>1.7387195766922428</c:v>
                </c:pt>
                <c:pt idx="13">
                  <c:v>1.7214190278405788</c:v>
                </c:pt>
                <c:pt idx="14">
                  <c:v>1.7042906223262195</c:v>
                </c:pt>
                <c:pt idx="15">
                  <c:v>1.68733264729434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AC-441E-999A-0BDB6D91D062}"/>
            </c:ext>
          </c:extLst>
        </c:ser>
        <c:ser>
          <c:idx val="1"/>
          <c:order val="1"/>
          <c:tx>
            <c:strRef>
              <c:f>各パラメータごとの形状_Bachelier!$N$12</c:f>
              <c:strCache>
                <c:ptCount val="1"/>
                <c:pt idx="0">
                  <c:v>ATM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各パラメータごとの形状_Bachelier!$L$13:$L$28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各パラメータごとの形状_Bachelier!$N$13:$N$28</c:f>
              <c:numCache>
                <c:formatCode>General</c:formatCode>
                <c:ptCount val="16"/>
                <c:pt idx="0">
                  <c:v>0.19552134698772794</c:v>
                </c:pt>
                <c:pt idx="1">
                  <c:v>0.19357587707961346</c:v>
                </c:pt>
                <c:pt idx="2">
                  <c:v>0.19164976492052069</c:v>
                </c:pt>
                <c:pt idx="3">
                  <c:v>0.18974281789762865</c:v>
                </c:pt>
                <c:pt idx="4">
                  <c:v>0.18785484531464591</c:v>
                </c:pt>
                <c:pt idx="5">
                  <c:v>0.18598565837274089</c:v>
                </c:pt>
                <c:pt idx="6">
                  <c:v>0.18413507015166167</c:v>
                </c:pt>
                <c:pt idx="7">
                  <c:v>0.18230289559104404</c:v>
                </c:pt>
                <c:pt idx="8">
                  <c:v>0.18048895147190508</c:v>
                </c:pt>
                <c:pt idx="9">
                  <c:v>0.17869305639832128</c:v>
                </c:pt>
                <c:pt idx="10">
                  <c:v>0.17691503077928869</c:v>
                </c:pt>
                <c:pt idx="11">
                  <c:v>0.17515469681076373</c:v>
                </c:pt>
                <c:pt idx="12">
                  <c:v>0.17341187845788258</c:v>
                </c:pt>
                <c:pt idx="13">
                  <c:v>0.17168640143735758</c:v>
                </c:pt>
                <c:pt idx="14">
                  <c:v>0.16997809320004878</c:v>
                </c:pt>
                <c:pt idx="15">
                  <c:v>0.16828678291370891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AC-441E-999A-0BDB6D91D062}"/>
            </c:ext>
          </c:extLst>
        </c:ser>
        <c:ser>
          <c:idx val="2"/>
          <c:order val="2"/>
          <c:tx>
            <c:strRef>
              <c:f>各パラメータごとの形状_Bachelier!$O$12</c:f>
              <c:strCache>
                <c:ptCount val="1"/>
                <c:pt idx="0">
                  <c:v>OTM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各パラメータごとの形状_Bachelier!$L$13:$L$28</c:f>
              <c:numCache>
                <c:formatCode>General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</c:numCache>
            </c:numRef>
          </c:xVal>
          <c:yVal>
            <c:numRef>
              <c:f>各パラメータごとの形状_Bachelier!$O$13:$O$28</c:f>
              <c:numCache>
                <c:formatCode>General</c:formatCode>
                <c:ptCount val="16"/>
                <c:pt idx="0">
                  <c:v>3.5018864179391046E-6</c:v>
                </c:pt>
                <c:pt idx="1">
                  <c:v>3.4670420658890805E-6</c:v>
                </c:pt>
                <c:pt idx="2">
                  <c:v>3.4325444209348562E-6</c:v>
                </c:pt>
                <c:pt idx="3">
                  <c:v>3.3983900332831886E-6</c:v>
                </c:pt>
                <c:pt idx="4">
                  <c:v>3.3645754874668507E-6</c:v>
                </c:pt>
                <c:pt idx="5">
                  <c:v>3.3310974020030818E-6</c:v>
                </c:pt>
                <c:pt idx="6">
                  <c:v>3.2979524290554363E-6</c:v>
                </c:pt>
                <c:pt idx="7">
                  <c:v>3.2651372540990001E-6</c:v>
                </c:pt>
                <c:pt idx="8">
                  <c:v>3.2326485955889297E-6</c:v>
                </c:pt>
                <c:pt idx="9">
                  <c:v>3.2004832046323018E-6</c:v>
                </c:pt>
                <c:pt idx="10">
                  <c:v>3.1686378646632147E-6</c:v>
                </c:pt>
                <c:pt idx="11">
                  <c:v>3.1371093911211349E-6</c:v>
                </c:pt>
                <c:pt idx="12">
                  <c:v>3.1058946311324335E-6</c:v>
                </c:pt>
                <c:pt idx="13">
                  <c:v>3.0749904631950992E-6</c:v>
                </c:pt>
                <c:pt idx="14">
                  <c:v>3.0443937968665854E-6</c:v>
                </c:pt>
                <c:pt idx="15">
                  <c:v>3.0141015724547613E-6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AC-441E-999A-0BDB6D91D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018751"/>
        <c:axId val="1748014911"/>
      </c:scatterChart>
      <c:valAx>
        <c:axId val="1748018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48014911"/>
        <c:crosses val="autoZero"/>
        <c:crossBetween val="midCat"/>
      </c:valAx>
      <c:valAx>
        <c:axId val="1748014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48018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10" Type="http://schemas.openxmlformats.org/officeDocument/2006/relationships/chart" Target="../charts/chart17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10" Type="http://schemas.openxmlformats.org/officeDocument/2006/relationships/chart" Target="../charts/chart33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7" Type="http://schemas.openxmlformats.org/officeDocument/2006/relationships/chart" Target="../charts/chart40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5" Type="http://schemas.openxmlformats.org/officeDocument/2006/relationships/chart" Target="../charts/chart38.xml"/><Relationship Id="rId4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161926</xdr:colOff>
      <xdr:row>0</xdr:row>
      <xdr:rowOff>0</xdr:rowOff>
    </xdr:from>
    <xdr:to>
      <xdr:col>27</xdr:col>
      <xdr:colOff>371475</xdr:colOff>
      <xdr:row>12</xdr:row>
      <xdr:rowOff>142875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D0CC98D-206E-36A8-8340-F3F0205DAC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13</xdr:row>
      <xdr:rowOff>85725</xdr:rowOff>
    </xdr:from>
    <xdr:to>
      <xdr:col>27</xdr:col>
      <xdr:colOff>152400</xdr:colOff>
      <xdr:row>25</xdr:row>
      <xdr:rowOff>138112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A409B67-4B4D-359C-3E48-15A6692C8D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682439</xdr:colOff>
      <xdr:row>13</xdr:row>
      <xdr:rowOff>126345</xdr:rowOff>
    </xdr:from>
    <xdr:to>
      <xdr:col>34</xdr:col>
      <xdr:colOff>196664</xdr:colOff>
      <xdr:row>25</xdr:row>
      <xdr:rowOff>12046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851B7749-5068-BA30-705E-8A8764C2F4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579344</xdr:colOff>
      <xdr:row>0</xdr:row>
      <xdr:rowOff>231961</xdr:rowOff>
    </xdr:from>
    <xdr:to>
      <xdr:col>34</xdr:col>
      <xdr:colOff>352985</xdr:colOff>
      <xdr:row>12</xdr:row>
      <xdr:rowOff>120463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CE8974B-6992-06B6-DD7B-1386104878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276225</xdr:colOff>
      <xdr:row>25</xdr:row>
      <xdr:rowOff>233362</xdr:rowOff>
    </xdr:from>
    <xdr:to>
      <xdr:col>28</xdr:col>
      <xdr:colOff>47625</xdr:colOff>
      <xdr:row>37</xdr:row>
      <xdr:rowOff>119062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544AA8FA-2D2A-296B-8BB8-C03F2D54F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302079</xdr:colOff>
      <xdr:row>25</xdr:row>
      <xdr:rowOff>227919</xdr:rowOff>
    </xdr:from>
    <xdr:to>
      <xdr:col>35</xdr:col>
      <xdr:colOff>73479</xdr:colOff>
      <xdr:row>37</xdr:row>
      <xdr:rowOff>106815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50A4A0CF-A70E-26A4-7AA2-30E6B0121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89646</xdr:colOff>
      <xdr:row>38</xdr:row>
      <xdr:rowOff>96370</xdr:rowOff>
    </xdr:from>
    <xdr:to>
      <xdr:col>28</xdr:col>
      <xdr:colOff>67235</xdr:colOff>
      <xdr:row>51</xdr:row>
      <xdr:rowOff>201706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9BBBC019-FF0B-7868-D5AE-7CD35F0FD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257735</xdr:colOff>
      <xdr:row>38</xdr:row>
      <xdr:rowOff>100853</xdr:rowOff>
    </xdr:from>
    <xdr:to>
      <xdr:col>34</xdr:col>
      <xdr:colOff>515470</xdr:colOff>
      <xdr:row>51</xdr:row>
      <xdr:rowOff>156882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97402E56-4209-6F8B-CF19-DD5AE2D2ED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324971</xdr:colOff>
      <xdr:row>8</xdr:row>
      <xdr:rowOff>156883</xdr:rowOff>
    </xdr:from>
    <xdr:to>
      <xdr:col>17</xdr:col>
      <xdr:colOff>437030</xdr:colOff>
      <xdr:row>26</xdr:row>
      <xdr:rowOff>33617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E0414D39-55BB-FB28-2C06-2EC6F18004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0</xdr:row>
      <xdr:rowOff>219075</xdr:rowOff>
    </xdr:from>
    <xdr:to>
      <xdr:col>7</xdr:col>
      <xdr:colOff>338570</xdr:colOff>
      <xdr:row>9</xdr:row>
      <xdr:rowOff>85725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5D016FE-5E12-4606-A3EC-B3A1AC9A1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219075"/>
          <a:ext cx="4567670" cy="2009775"/>
        </a:xfrm>
        <a:prstGeom prst="rect">
          <a:avLst/>
        </a:prstGeom>
      </xdr:spPr>
    </xdr:pic>
    <xdr:clientData/>
  </xdr:twoCellAnchor>
  <xdr:twoCellAnchor editAs="oneCell">
    <xdr:from>
      <xdr:col>17</xdr:col>
      <xdr:colOff>171450</xdr:colOff>
      <xdr:row>2</xdr:row>
      <xdr:rowOff>95250</xdr:rowOff>
    </xdr:from>
    <xdr:to>
      <xdr:col>24</xdr:col>
      <xdr:colOff>138156</xdr:colOff>
      <xdr:row>7</xdr:row>
      <xdr:rowOff>123995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AABBEA31-EA5F-4C00-A570-F0A0F414D4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953875" y="571500"/>
          <a:ext cx="5167356" cy="1219370"/>
        </a:xfrm>
        <a:prstGeom prst="rect">
          <a:avLst/>
        </a:prstGeom>
      </xdr:spPr>
    </xdr:pic>
    <xdr:clientData/>
  </xdr:twoCellAnchor>
  <xdr:twoCellAnchor>
    <xdr:from>
      <xdr:col>37</xdr:col>
      <xdr:colOff>36737</xdr:colOff>
      <xdr:row>3</xdr:row>
      <xdr:rowOff>104774</xdr:rowOff>
    </xdr:from>
    <xdr:to>
      <xdr:col>48</xdr:col>
      <xdr:colOff>207507</xdr:colOff>
      <xdr:row>18</xdr:row>
      <xdr:rowOff>80962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58B14B3-95A9-471F-BA5F-9D7B0E3E6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408214</xdr:colOff>
      <xdr:row>3</xdr:row>
      <xdr:rowOff>54428</xdr:rowOff>
    </xdr:from>
    <xdr:to>
      <xdr:col>59</xdr:col>
      <xdr:colOff>582187</xdr:colOff>
      <xdr:row>18</xdr:row>
      <xdr:rowOff>21012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A86EAEB0-355F-4912-9A21-DBA600831B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20</xdr:row>
      <xdr:rowOff>0</xdr:rowOff>
    </xdr:from>
    <xdr:to>
      <xdr:col>48</xdr:col>
      <xdr:colOff>173972</xdr:colOff>
      <xdr:row>34</xdr:row>
      <xdr:rowOff>211512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D5157875-A9FE-46A5-AAFB-C268C8D652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20</xdr:row>
      <xdr:rowOff>0</xdr:rowOff>
    </xdr:from>
    <xdr:to>
      <xdr:col>60</xdr:col>
      <xdr:colOff>173972</xdr:colOff>
      <xdr:row>34</xdr:row>
      <xdr:rowOff>211512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6E12470D-068B-4FF9-8F36-56AD170AA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0</xdr:colOff>
      <xdr:row>36</xdr:row>
      <xdr:rowOff>0</xdr:rowOff>
    </xdr:from>
    <xdr:to>
      <xdr:col>48</xdr:col>
      <xdr:colOff>173972</xdr:colOff>
      <xdr:row>50</xdr:row>
      <xdr:rowOff>211512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75D8443E-34BA-4D08-9693-F5F3BA298D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49</xdr:col>
      <xdr:colOff>0</xdr:colOff>
      <xdr:row>36</xdr:row>
      <xdr:rowOff>0</xdr:rowOff>
    </xdr:from>
    <xdr:to>
      <xdr:col>60</xdr:col>
      <xdr:colOff>173972</xdr:colOff>
      <xdr:row>50</xdr:row>
      <xdr:rowOff>211512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46CAC09B-002F-491F-A0AE-5CFB4E4FAF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37</xdr:col>
      <xdr:colOff>0</xdr:colOff>
      <xdr:row>52</xdr:row>
      <xdr:rowOff>0</xdr:rowOff>
    </xdr:from>
    <xdr:to>
      <xdr:col>48</xdr:col>
      <xdr:colOff>173972</xdr:colOff>
      <xdr:row>66</xdr:row>
      <xdr:rowOff>211512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3109E8AA-2AD3-4F31-AAB2-10C01BA89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49</xdr:col>
      <xdr:colOff>0</xdr:colOff>
      <xdr:row>52</xdr:row>
      <xdr:rowOff>0</xdr:rowOff>
    </xdr:from>
    <xdr:to>
      <xdr:col>60</xdr:col>
      <xdr:colOff>173972</xdr:colOff>
      <xdr:row>66</xdr:row>
      <xdr:rowOff>211512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9BE039E5-CEC8-4A61-9C0A-6F0D82DF29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161926</xdr:colOff>
      <xdr:row>0</xdr:row>
      <xdr:rowOff>0</xdr:rowOff>
    </xdr:from>
    <xdr:to>
      <xdr:col>27</xdr:col>
      <xdr:colOff>371475</xdr:colOff>
      <xdr:row>12</xdr:row>
      <xdr:rowOff>142875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6CCCE0A-6AB1-499D-9D57-763A96CAF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13</xdr:row>
      <xdr:rowOff>85725</xdr:rowOff>
    </xdr:from>
    <xdr:to>
      <xdr:col>27</xdr:col>
      <xdr:colOff>152400</xdr:colOff>
      <xdr:row>25</xdr:row>
      <xdr:rowOff>138112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C4C2423-2F71-42FA-9A95-A9C7E301C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682439</xdr:colOff>
      <xdr:row>13</xdr:row>
      <xdr:rowOff>126345</xdr:rowOff>
    </xdr:from>
    <xdr:to>
      <xdr:col>34</xdr:col>
      <xdr:colOff>196664</xdr:colOff>
      <xdr:row>25</xdr:row>
      <xdr:rowOff>12046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78A2107B-36D6-4550-B8F4-1D7A1F3EB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579344</xdr:colOff>
      <xdr:row>0</xdr:row>
      <xdr:rowOff>231961</xdr:rowOff>
    </xdr:from>
    <xdr:to>
      <xdr:col>34</xdr:col>
      <xdr:colOff>352985</xdr:colOff>
      <xdr:row>12</xdr:row>
      <xdr:rowOff>120463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70398A1-DE93-42F6-8BA3-CC42615A9A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276225</xdr:colOff>
      <xdr:row>25</xdr:row>
      <xdr:rowOff>233362</xdr:rowOff>
    </xdr:from>
    <xdr:to>
      <xdr:col>28</xdr:col>
      <xdr:colOff>47625</xdr:colOff>
      <xdr:row>37</xdr:row>
      <xdr:rowOff>119062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5025F534-7026-4962-822C-AF5F6D92F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302079</xdr:colOff>
      <xdr:row>25</xdr:row>
      <xdr:rowOff>227919</xdr:rowOff>
    </xdr:from>
    <xdr:to>
      <xdr:col>35</xdr:col>
      <xdr:colOff>73479</xdr:colOff>
      <xdr:row>37</xdr:row>
      <xdr:rowOff>106815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774775F2-C928-4AD3-88CE-98DD18555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89646</xdr:colOff>
      <xdr:row>38</xdr:row>
      <xdr:rowOff>96370</xdr:rowOff>
    </xdr:from>
    <xdr:to>
      <xdr:col>28</xdr:col>
      <xdr:colOff>67235</xdr:colOff>
      <xdr:row>51</xdr:row>
      <xdr:rowOff>201706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60B73079-DC87-4964-B454-383DB8481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257735</xdr:colOff>
      <xdr:row>38</xdr:row>
      <xdr:rowOff>100853</xdr:rowOff>
    </xdr:from>
    <xdr:to>
      <xdr:col>34</xdr:col>
      <xdr:colOff>515470</xdr:colOff>
      <xdr:row>51</xdr:row>
      <xdr:rowOff>156882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6A0E2D76-EDCC-4B68-A0A4-4B840D20C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0</xdr:row>
      <xdr:rowOff>219075</xdr:rowOff>
    </xdr:from>
    <xdr:to>
      <xdr:col>7</xdr:col>
      <xdr:colOff>338570</xdr:colOff>
      <xdr:row>9</xdr:row>
      <xdr:rowOff>85725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50789CD4-4E35-4E89-AA8A-C396FE16A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219075"/>
          <a:ext cx="4567670" cy="2009775"/>
        </a:xfrm>
        <a:prstGeom prst="rect">
          <a:avLst/>
        </a:prstGeom>
      </xdr:spPr>
    </xdr:pic>
    <xdr:clientData/>
  </xdr:twoCellAnchor>
  <xdr:twoCellAnchor editAs="oneCell">
    <xdr:from>
      <xdr:col>17</xdr:col>
      <xdr:colOff>171450</xdr:colOff>
      <xdr:row>2</xdr:row>
      <xdr:rowOff>95250</xdr:rowOff>
    </xdr:from>
    <xdr:to>
      <xdr:col>24</xdr:col>
      <xdr:colOff>138156</xdr:colOff>
      <xdr:row>7</xdr:row>
      <xdr:rowOff>123995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1E60A8BF-3886-4288-830F-90E6E01FE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72225" y="571500"/>
          <a:ext cx="5167355" cy="1219370"/>
        </a:xfrm>
        <a:prstGeom prst="rect">
          <a:avLst/>
        </a:prstGeom>
      </xdr:spPr>
    </xdr:pic>
    <xdr:clientData/>
  </xdr:twoCellAnchor>
  <xdr:twoCellAnchor>
    <xdr:from>
      <xdr:col>37</xdr:col>
      <xdr:colOff>36737</xdr:colOff>
      <xdr:row>3</xdr:row>
      <xdr:rowOff>104774</xdr:rowOff>
    </xdr:from>
    <xdr:to>
      <xdr:col>48</xdr:col>
      <xdr:colOff>207507</xdr:colOff>
      <xdr:row>18</xdr:row>
      <xdr:rowOff>80962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EB91104-2809-4F41-A1C2-BAEB2829A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408214</xdr:colOff>
      <xdr:row>3</xdr:row>
      <xdr:rowOff>54428</xdr:rowOff>
    </xdr:from>
    <xdr:to>
      <xdr:col>59</xdr:col>
      <xdr:colOff>582187</xdr:colOff>
      <xdr:row>18</xdr:row>
      <xdr:rowOff>21012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8BB0711A-6B4C-4955-A51C-FB94DB45F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20</xdr:row>
      <xdr:rowOff>0</xdr:rowOff>
    </xdr:from>
    <xdr:to>
      <xdr:col>48</xdr:col>
      <xdr:colOff>173972</xdr:colOff>
      <xdr:row>34</xdr:row>
      <xdr:rowOff>211512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158225DD-0A44-4E2D-AE8B-2F69C6946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20</xdr:row>
      <xdr:rowOff>0</xdr:rowOff>
    </xdr:from>
    <xdr:to>
      <xdr:col>60</xdr:col>
      <xdr:colOff>173972</xdr:colOff>
      <xdr:row>34</xdr:row>
      <xdr:rowOff>211512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91D7F0A9-FF14-4673-B570-FFB9B60569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0</xdr:colOff>
      <xdr:row>36</xdr:row>
      <xdr:rowOff>0</xdr:rowOff>
    </xdr:from>
    <xdr:to>
      <xdr:col>48</xdr:col>
      <xdr:colOff>173972</xdr:colOff>
      <xdr:row>50</xdr:row>
      <xdr:rowOff>211512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10A6103-D495-41B1-A94F-1093381964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49</xdr:col>
      <xdr:colOff>0</xdr:colOff>
      <xdr:row>36</xdr:row>
      <xdr:rowOff>0</xdr:rowOff>
    </xdr:from>
    <xdr:to>
      <xdr:col>60</xdr:col>
      <xdr:colOff>173972</xdr:colOff>
      <xdr:row>50</xdr:row>
      <xdr:rowOff>211512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90171476-E17E-41D0-B2EB-1E5CC827A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37</xdr:col>
      <xdr:colOff>0</xdr:colOff>
      <xdr:row>52</xdr:row>
      <xdr:rowOff>0</xdr:rowOff>
    </xdr:from>
    <xdr:to>
      <xdr:col>48</xdr:col>
      <xdr:colOff>173972</xdr:colOff>
      <xdr:row>66</xdr:row>
      <xdr:rowOff>211512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A4C94556-F23C-4CB9-9C2B-6671AF91A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49</xdr:col>
      <xdr:colOff>0</xdr:colOff>
      <xdr:row>52</xdr:row>
      <xdr:rowOff>0</xdr:rowOff>
    </xdr:from>
    <xdr:to>
      <xdr:col>60</xdr:col>
      <xdr:colOff>173972</xdr:colOff>
      <xdr:row>66</xdr:row>
      <xdr:rowOff>211512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776708E0-909B-4E5A-B03E-2656FA3DE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89646</xdr:colOff>
      <xdr:row>38</xdr:row>
      <xdr:rowOff>96370</xdr:rowOff>
    </xdr:from>
    <xdr:to>
      <xdr:col>24</xdr:col>
      <xdr:colOff>67235</xdr:colOff>
      <xdr:row>51</xdr:row>
      <xdr:rowOff>201706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77B6F0D4-65EE-4D68-A5C4-C9AC272F47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257735</xdr:colOff>
      <xdr:row>38</xdr:row>
      <xdr:rowOff>100853</xdr:rowOff>
    </xdr:from>
    <xdr:to>
      <xdr:col>30</xdr:col>
      <xdr:colOff>515470</xdr:colOff>
      <xdr:row>51</xdr:row>
      <xdr:rowOff>156882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C1509261-9840-4AAD-8DBD-EB3275AF9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112059</xdr:colOff>
      <xdr:row>26</xdr:row>
      <xdr:rowOff>107576</xdr:rowOff>
    </xdr:from>
    <xdr:to>
      <xdr:col>23</xdr:col>
      <xdr:colOff>582706</xdr:colOff>
      <xdr:row>38</xdr:row>
      <xdr:rowOff>26894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BA2EDE22-DE85-9D1C-9085-F7C071A6CA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369794</xdr:colOff>
      <xdr:row>26</xdr:row>
      <xdr:rowOff>123264</xdr:rowOff>
    </xdr:from>
    <xdr:to>
      <xdr:col>31</xdr:col>
      <xdr:colOff>156882</xdr:colOff>
      <xdr:row>38</xdr:row>
      <xdr:rowOff>42582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E2AE6A74-C835-4885-AC97-27556A6F6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616323</xdr:colOff>
      <xdr:row>1</xdr:row>
      <xdr:rowOff>230841</xdr:rowOff>
    </xdr:from>
    <xdr:to>
      <xdr:col>23</xdr:col>
      <xdr:colOff>403411</xdr:colOff>
      <xdr:row>13</xdr:row>
      <xdr:rowOff>150159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52821519-53E9-3C45-1EF8-E951D48D64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78442</xdr:colOff>
      <xdr:row>2</xdr:row>
      <xdr:rowOff>141194</xdr:rowOff>
    </xdr:from>
    <xdr:to>
      <xdr:col>30</xdr:col>
      <xdr:colOff>549089</xdr:colOff>
      <xdr:row>14</xdr:row>
      <xdr:rowOff>60512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88C8882B-3463-9F6F-C0F5-6D14C68C5D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616323</xdr:colOff>
      <xdr:row>14</xdr:row>
      <xdr:rowOff>6724</xdr:rowOff>
    </xdr:from>
    <xdr:to>
      <xdr:col>23</xdr:col>
      <xdr:colOff>403411</xdr:colOff>
      <xdr:row>25</xdr:row>
      <xdr:rowOff>161365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3F638F6A-6483-7A38-8A7A-18E1EB3045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www.glynholton.com/notes/black_1976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www.glynholton.com/notes/black_1976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F0B73-721A-4D40-9064-0F968EF9C908}">
  <sheetPr codeName="Sheet3">
    <tabColor theme="9" tint="0.59999389629810485"/>
  </sheetPr>
  <dimension ref="A1"/>
  <sheetViews>
    <sheetView workbookViewId="0">
      <selection activeCell="G36" sqref="G36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0F64F-9AF4-4F1B-9E36-6DDFEDB71902}">
  <sheetPr codeName="Sheet1"/>
  <dimension ref="B2:T61"/>
  <sheetViews>
    <sheetView topLeftCell="A30" zoomScale="70" zoomScaleNormal="70" workbookViewId="0">
      <selection activeCell="D11" sqref="D11"/>
    </sheetView>
  </sheetViews>
  <sheetFormatPr defaultRowHeight="18.75" x14ac:dyDescent="0.4"/>
  <cols>
    <col min="3" max="3" width="9.375" bestFit="1" customWidth="1"/>
    <col min="4" max="4" width="9.375" customWidth="1"/>
    <col min="5" max="5" width="12.625" customWidth="1"/>
    <col min="6" max="6" width="9.375" customWidth="1"/>
    <col min="7" max="7" width="12.375" bestFit="1" customWidth="1"/>
    <col min="8" max="8" width="10.5" bestFit="1" customWidth="1"/>
    <col min="11" max="11" width="9.375" bestFit="1" customWidth="1"/>
    <col min="13" max="13" width="9.375" bestFit="1" customWidth="1"/>
  </cols>
  <sheetData>
    <row r="2" spans="2:20" x14ac:dyDescent="0.4">
      <c r="B2" s="1" t="s">
        <v>6</v>
      </c>
      <c r="G2" s="1" t="s">
        <v>10</v>
      </c>
      <c r="J2" s="1" t="s">
        <v>9</v>
      </c>
      <c r="K2" s="1"/>
    </row>
    <row r="3" spans="2:20" x14ac:dyDescent="0.4">
      <c r="B3" t="s">
        <v>7</v>
      </c>
      <c r="C3" t="s">
        <v>8</v>
      </c>
      <c r="G3" t="s">
        <v>11</v>
      </c>
      <c r="H3">
        <v>6000</v>
      </c>
      <c r="J3" t="s">
        <v>5</v>
      </c>
      <c r="K3">
        <v>9.9999999999999995E-8</v>
      </c>
    </row>
    <row r="4" spans="2:20" x14ac:dyDescent="0.4">
      <c r="B4" t="s">
        <v>0</v>
      </c>
      <c r="C4">
        <v>40000</v>
      </c>
      <c r="D4">
        <v>35000</v>
      </c>
      <c r="E4">
        <v>30000</v>
      </c>
      <c r="G4" t="s">
        <v>12</v>
      </c>
      <c r="H4">
        <v>500</v>
      </c>
    </row>
    <row r="5" spans="2:20" x14ac:dyDescent="0.4">
      <c r="B5" t="s">
        <v>1</v>
      </c>
      <c r="C5">
        <v>35000</v>
      </c>
    </row>
    <row r="6" spans="2:20" x14ac:dyDescent="0.4">
      <c r="B6" t="s">
        <v>2</v>
      </c>
      <c r="C6">
        <v>0.02</v>
      </c>
    </row>
    <row r="7" spans="2:20" x14ac:dyDescent="0.4">
      <c r="B7" t="s">
        <v>3</v>
      </c>
      <c r="C7">
        <v>0.05</v>
      </c>
    </row>
    <row r="8" spans="2:20" x14ac:dyDescent="0.4">
      <c r="B8" t="s">
        <v>4</v>
      </c>
      <c r="C8">
        <v>1</v>
      </c>
    </row>
    <row r="10" spans="2:20" x14ac:dyDescent="0.4">
      <c r="C10" cm="1">
        <f t="array" ref="C10">BSoptionValue(StockPrice,StrikePrice,rate,sigma,TimeofExpiration,Style)</f>
        <v>5693.5966190913314</v>
      </c>
      <c r="D10" cm="1">
        <f t="array" ref="D10">BSImpliedVolatility(MarketCallOptioin,StockPrice,StrikePrice,rate,sigma,TimeofExpiration,K3,Style)</f>
        <v>0.13354071119896516</v>
      </c>
    </row>
    <row r="12" spans="2:20" x14ac:dyDescent="0.4">
      <c r="B12" t="s">
        <v>13</v>
      </c>
      <c r="C12" t="s">
        <v>24</v>
      </c>
      <c r="D12" t="s">
        <v>26</v>
      </c>
      <c r="E12" t="s">
        <v>25</v>
      </c>
      <c r="G12" t="s">
        <v>13</v>
      </c>
      <c r="H12" t="s">
        <v>24</v>
      </c>
      <c r="I12" t="s">
        <v>26</v>
      </c>
      <c r="J12" t="s">
        <v>25</v>
      </c>
      <c r="L12" t="s">
        <v>14</v>
      </c>
      <c r="M12" t="s">
        <v>24</v>
      </c>
      <c r="N12" t="s">
        <v>26</v>
      </c>
      <c r="O12" t="s">
        <v>25</v>
      </c>
      <c r="Q12" t="s">
        <v>14</v>
      </c>
      <c r="R12" t="s">
        <v>24</v>
      </c>
      <c r="S12" t="s">
        <v>26</v>
      </c>
      <c r="T12" t="s">
        <v>25</v>
      </c>
    </row>
    <row r="13" spans="2:20" x14ac:dyDescent="0.4">
      <c r="B13">
        <v>0.05</v>
      </c>
      <c r="C13" cm="1">
        <f t="array" ref="C13">BSoptionValue(C$4,StrikePrice,rate,B13,TimeofExpiration,Style)</f>
        <v>5693.5966190913314</v>
      </c>
      <c r="D13" cm="1">
        <f t="array" ref="D13">BSoptionValue(D$4,StrikePrice,rate,$B13,TimeofExpiration,Style)</f>
        <v>1092.2420112201835</v>
      </c>
      <c r="E13" cm="1">
        <f t="array" ref="E13">BSoptionValue(E$4,StrikePrice,rate,$B13,TimeofExpiration,Style)</f>
        <v>1.7969167745359584</v>
      </c>
      <c r="G13">
        <v>0.05</v>
      </c>
      <c r="H13" cm="1">
        <f t="array" ref="H13">BSoptionValue(StockPrice,StrikePrice,rate,$G13,TimeofExpiration,Style)</f>
        <v>5693.5966190913314</v>
      </c>
      <c r="I13" cm="1">
        <f t="array" ref="I13">BSoptionValue(D$4,StrikePrice,rate,$G13,TimeofExpiration,Style)</f>
        <v>1092.2420112201835</v>
      </c>
      <c r="J13" cm="1">
        <f t="array" ref="J13">BSoptionValue(E$4,StrikePrice,rate,$G13,TimeofExpiration,Style)</f>
        <v>1.7969167745359584</v>
      </c>
      <c r="L13">
        <v>0.02</v>
      </c>
      <c r="M13" cm="1">
        <f t="array" ref="M13">BSoptionValue(C$4,StrikePrice,$L13,sigma,TimeofExpiration,Style)</f>
        <v>5693.5966190913314</v>
      </c>
      <c r="N13" cm="1">
        <f t="array" ref="N13">BSoptionValue(D$4,StrikePrice,$L13,sigma,TimeofExpiration,Style)</f>
        <v>1092.2420112201835</v>
      </c>
      <c r="O13" cm="1">
        <f t="array" ref="O13">BSoptionValue(E$4,StrikePrice,$L13,sigma,TimeofExpiration,Style)</f>
        <v>1.7969167745359584</v>
      </c>
      <c r="Q13">
        <v>0</v>
      </c>
      <c r="R13" cm="1">
        <f t="array" ref="R13">BSoptionValue(C$4,StrikePrice,$Q13,sigma,TimeofExpiration,Style)</f>
        <v>5002.1818468785132</v>
      </c>
      <c r="S13" cm="1">
        <f t="array" ref="S13">BSoptionValue(D$4,StrikePrice,$Q13,sigma,TimeofExpiration,Style)</f>
        <v>698.07627366666566</v>
      </c>
      <c r="T13" cm="1">
        <f t="array" ref="T13">BSoptionValue(E$4,StrikePrice,$Q13,sigma,TimeofExpiration,Style)</f>
        <v>0.46027449629794148</v>
      </c>
    </row>
    <row r="14" spans="2:20" x14ac:dyDescent="0.4">
      <c r="B14">
        <v>0.06</v>
      </c>
      <c r="C14" cm="1">
        <f t="array" ref="C14">BSoptionValue(StockPrice,StrikePrice,rate,B14,TimeofExpiration,Style)</f>
        <v>5696.7514825565158</v>
      </c>
      <c r="D14" cm="1">
        <f t="array" ref="D14">BSoptionValue(D$4,StrikePrice,rate,$B14,TimeofExpiration,Style)</f>
        <v>1221.5210541063825</v>
      </c>
      <c r="E14" cm="1">
        <f t="array" ref="E14">BSoptionValue(E$4,StrikePrice,rate,$B14,TimeofExpiration,Style)</f>
        <v>8.4872383303386414</v>
      </c>
      <c r="G14">
        <v>0.1</v>
      </c>
      <c r="H14" cm="1">
        <f t="array" ref="H14">BSoptionValue(StockPrice,StrikePrice,rate,G14,TimeofExpiration,Style)</f>
        <v>5793.0745647232725</v>
      </c>
      <c r="I14" cm="1">
        <f t="array" ref="I14">BSoptionValue(D$4,StrikePrice,rate,$G14,TimeofExpiration,Style)</f>
        <v>1755.9432121918435</v>
      </c>
      <c r="J14" cm="1">
        <f t="array" ref="J14">BSoptionValue(E$4,StrikePrice,rate,$G14,TimeofExpiration,Style)</f>
        <v>133.51818454345675</v>
      </c>
      <c r="L14">
        <v>0.03</v>
      </c>
      <c r="M14" cm="1">
        <f t="array" ref="M14">BSoptionValue(C$4,StrikePrice,$L14,sigma,TimeofExpiration,Style)</f>
        <v>6034.6683913259039</v>
      </c>
      <c r="N14" cm="1">
        <f t="array" ref="N14">BSoptionValue(D$4,StrikePrice,$L14,sigma,TimeofExpiration,Style)</f>
        <v>1325.1400597337451</v>
      </c>
      <c r="O14" cm="1">
        <f t="array" ref="O14">BSoptionValue(E$4,StrikePrice,$L14,sigma,TimeofExpiration,Style)</f>
        <v>3.3703020822162841</v>
      </c>
      <c r="Q14">
        <v>0.1</v>
      </c>
      <c r="R14" cm="1">
        <f t="array" ref="R14">BSoptionValue(C$4,StrikePrice,$Q14,sigma,TimeofExpiration,Style)</f>
        <v>8330.6908973319041</v>
      </c>
      <c r="S14" cm="1">
        <f t="array" ref="S14">BSoptionValue(D$4,StrikePrice,$Q14,sigma,TimeofExpiration,Style)</f>
        <v>3344.8209570653999</v>
      </c>
      <c r="T14" cm="1">
        <f t="array" ref="T14">BSoptionValue(E$4,StrikePrice,$Q14,sigma,TimeofExpiration,Style)</f>
        <v>109.33224302265171</v>
      </c>
    </row>
    <row r="15" spans="2:20" x14ac:dyDescent="0.4">
      <c r="B15">
        <v>7.0000000000000007E-2</v>
      </c>
      <c r="C15" cm="1">
        <f t="array" ref="C15">BSoptionValue(StockPrice,StrikePrice,rate,B15,TimeofExpiration,Style)</f>
        <v>5705.9559832897794</v>
      </c>
      <c r="D15" cm="1">
        <f t="array" ref="D15">BSoptionValue(D$4,StrikePrice,rate,$B15,TimeofExpiration,Style)</f>
        <v>1353.2643374715408</v>
      </c>
      <c r="E15" cm="1">
        <f t="array" ref="E15">BSoptionValue(E$4,StrikePrice,rate,$B15,TimeofExpiration,Style)</f>
        <v>23.772946875527168</v>
      </c>
      <c r="G15">
        <v>0.15</v>
      </c>
      <c r="H15" cm="1">
        <f t="array" ref="H15">BSoptionValue(StockPrice,StrikePrice,rate,G15,TimeofExpiration,Style)</f>
        <v>6134.8199677815101</v>
      </c>
      <c r="I15" cm="1">
        <f t="array" ref="I15">BSoptionValue(D$4,StrikePrice,rate,$G15,TimeofExpiration,Style)</f>
        <v>2436.644575593953</v>
      </c>
      <c r="J15" cm="1">
        <f t="array" ref="J15">BSoptionValue(E$4,StrikePrice,rate,$G15,TimeofExpiration,Style)</f>
        <v>487.49009525564634</v>
      </c>
      <c r="L15">
        <v>0.04</v>
      </c>
      <c r="M15" cm="1">
        <f t="array" ref="M15">BSoptionValue(C$4,StrikePrice,$L15,sigma,TimeofExpiration,Style)</f>
        <v>6372.4900819838658</v>
      </c>
      <c r="N15" cm="1">
        <f t="array" ref="N15">BSoptionValue(D$4,StrikePrice,$L15,sigma,TimeofExpiration,Style)</f>
        <v>1578.5288171349675</v>
      </c>
      <c r="O15" cm="1">
        <f t="array" ref="O15">BSoptionValue(E$4,StrikePrice,$L15,sigma,TimeofExpiration,Style)</f>
        <v>6.109291526686377</v>
      </c>
      <c r="Q15">
        <v>0.2</v>
      </c>
      <c r="R15" cm="1">
        <f t="array" ref="R15">BSoptionValue(C$4,StrikePrice,$Q15,sigma,TimeofExpiration,Style)</f>
        <v>11344.423642273734</v>
      </c>
      <c r="S15" cm="1">
        <f t="array" ref="S15">BSoptionValue(D$4,StrikePrice,$Q15,sigma,TimeofExpiration,Style)</f>
        <v>6344.4349533237582</v>
      </c>
      <c r="T15" cm="1">
        <f t="array" ref="T15">BSoptionValue(E$4,StrikePrice,$Q15,sigma,TimeofExpiration,Style)</f>
        <v>1487.1010983076594</v>
      </c>
    </row>
    <row r="16" spans="2:20" x14ac:dyDescent="0.4">
      <c r="B16">
        <v>0.08</v>
      </c>
      <c r="C16" cm="1">
        <f t="array" ref="C16">BSoptionValue(StockPrice,StrikePrice,rate,B16,TimeofExpiration,Style)</f>
        <v>5724.1932162495505</v>
      </c>
      <c r="D16" cm="1">
        <f t="array" ref="D16">BSoptionValue(D$4,StrikePrice,rate,$B16,TimeofExpiration,Style)</f>
        <v>1486.5613502598972</v>
      </c>
      <c r="E16" cm="1">
        <f t="array" ref="E16">BSoptionValue(E$4,StrikePrice,rate,$B16,TimeofExpiration,Style)</f>
        <v>49.615314673658531</v>
      </c>
      <c r="G16">
        <v>0.2</v>
      </c>
      <c r="H16" cm="1">
        <f t="array" ref="H16">BSoptionValue(StockPrice,StrikePrice,rate,G16,TimeofExpiration,Style)</f>
        <v>6632.8037845021099</v>
      </c>
      <c r="I16" cm="1">
        <f t="array" ref="I16">BSoptionValue(D$4,StrikePrice,rate,$G16,TimeofExpiration,Style)</f>
        <v>3120.6130475003883</v>
      </c>
      <c r="J16" cm="1">
        <f t="array" ref="J16">BSoptionValue(E$4,StrikePrice,rate,$G16,TimeofExpiration,Style)</f>
        <v>960.33858534784849</v>
      </c>
      <c r="L16">
        <v>0.05</v>
      </c>
      <c r="M16" cm="1">
        <f t="array" ref="M16">BSoptionValue(C$4,StrikePrice,$L16,sigma,TimeofExpiration,Style)</f>
        <v>6707.0235485164594</v>
      </c>
      <c r="N16" cm="1">
        <f t="array" ref="N16">BSoptionValue(D$4,StrikePrice,$L16,sigma,TimeofExpiration,Style)</f>
        <v>1849.1441456774737</v>
      </c>
      <c r="O16" cm="1">
        <f t="array" ref="O16">BSoptionValue(E$4,StrikePrice,$L16,sigma,TimeofExpiration,Style)</f>
        <v>10.708112454806724</v>
      </c>
      <c r="Q16">
        <v>0.3</v>
      </c>
      <c r="R16" cm="1">
        <f t="array" ref="R16">BSoptionValue(C$4,StrikePrice,$Q16,sigma,TimeofExpiration,Style)</f>
        <v>14071.362276139873</v>
      </c>
      <c r="S16" cm="1">
        <f t="array" ref="S16">BSoptionValue(D$4,StrikePrice,$Q16,sigma,TimeofExpiration,Style)</f>
        <v>9071.3622763753192</v>
      </c>
      <c r="T16" cm="1">
        <f t="array" ref="T16">BSoptionValue(E$4,StrikePrice,$Q16,sigma,TimeofExpiration,Style)</f>
        <v>4072.0744335267918</v>
      </c>
    </row>
    <row r="17" spans="2:20" x14ac:dyDescent="0.4">
      <c r="B17">
        <v>0.09</v>
      </c>
      <c r="C17" cm="1">
        <f t="array" ref="C17">BSoptionValue(StockPrice,StrikePrice,rate,B17,TimeofExpiration,Style)</f>
        <v>5753.1000981120669</v>
      </c>
      <c r="D17" cm="1">
        <f t="array" ref="D17">BSoptionValue(D$4,StrikePrice,rate,$B17,TimeofExpiration,Style)</f>
        <v>1620.8933504340057</v>
      </c>
      <c r="E17" cm="1">
        <f t="array" ref="E17">BSoptionValue(E$4,StrikePrice,rate,$B17,TimeofExpiration,Style)</f>
        <v>86.391847534212957</v>
      </c>
      <c r="G17">
        <v>0.25</v>
      </c>
      <c r="H17" cm="1">
        <f t="array" ref="H17">BSoptionValue(StockPrice,StrikePrice,rate,G17,TimeofExpiration,Style)</f>
        <v>7213.11405096819</v>
      </c>
      <c r="I17" cm="1">
        <f t="array" ref="I17">BSoptionValue(D$4,StrikePrice,rate,$G17,TimeofExpiration,Style)</f>
        <v>3804.6954716951586</v>
      </c>
      <c r="J17" cm="1">
        <f t="array" ref="J17">BSoptionValue(E$4,StrikePrice,rate,$G17,TimeofExpiration,Style)</f>
        <v>1491.6190077335978</v>
      </c>
      <c r="L17">
        <v>0.06</v>
      </c>
      <c r="M17" cm="1">
        <f t="array" ref="M17">BSoptionValue(C$4,StrikePrice,$L17,sigma,TimeofExpiration,Style)</f>
        <v>7038.2641602287549</v>
      </c>
      <c r="N17" cm="1">
        <f t="array" ref="N17">BSoptionValue(D$4,StrikePrice,$L17,sigma,TimeofExpiration,Style)</f>
        <v>2133.4989184601982</v>
      </c>
      <c r="O17" cm="1">
        <f t="array" ref="O17">BSoptionValue(E$4,StrikePrice,$L17,sigma,TimeofExpiration,Style)</f>
        <v>18.158383460987352</v>
      </c>
      <c r="Q17">
        <v>0.4</v>
      </c>
      <c r="R17" cm="1">
        <f t="array" ref="R17">BSoptionValue(C$4,StrikePrice,$Q17,sigma,TimeofExpiration,Style)</f>
        <v>16538.798388752624</v>
      </c>
      <c r="S17" cm="1">
        <f t="array" ref="S17">BSoptionValue(D$4,StrikePrice,$Q17,sigma,TimeofExpiration,Style)</f>
        <v>11538.798388752621</v>
      </c>
      <c r="T17" cm="1">
        <f t="array" ref="T17">BSoptionValue(E$4,StrikePrice,$Q17,sigma,TimeofExpiration,Style)</f>
        <v>6538.7984990389159</v>
      </c>
    </row>
    <row r="18" spans="2:20" x14ac:dyDescent="0.4">
      <c r="B18">
        <v>0.1</v>
      </c>
      <c r="C18" cm="1">
        <f t="array" ref="C18">BSoptionValue(StockPrice,StrikePrice,rate,B18,TimeofExpiration,Style)</f>
        <v>5793.0745647232725</v>
      </c>
      <c r="D18" cm="1">
        <f t="array" ref="D18">BSoptionValue(D$4,StrikePrice,rate,$B18,TimeofExpiration,Style)</f>
        <v>1755.9432121918435</v>
      </c>
      <c r="E18" cm="1">
        <f t="array" ref="E18">BSoptionValue(E$4,StrikePrice,rate,$B18,TimeofExpiration,Style)</f>
        <v>133.51818454345675</v>
      </c>
      <c r="G18">
        <v>0.3</v>
      </c>
      <c r="H18" cm="1">
        <f t="array" ref="H18">BSoptionValue(StockPrice,StrikePrice,rate,G18,TimeofExpiration,Style)</f>
        <v>7838.7035003355304</v>
      </c>
      <c r="I18" cm="1">
        <f t="array" ref="I18">BSoptionValue(D$4,StrikePrice,rate,$G18,TimeofExpiration,Style)</f>
        <v>4487.5534874419973</v>
      </c>
      <c r="J18" cm="1">
        <f t="array" ref="J18">BSoptionValue(E$4,StrikePrice,rate,$G18,TimeofExpiration,Style)</f>
        <v>2053.8821140178698</v>
      </c>
      <c r="L18">
        <v>7.0000000000000007E-2</v>
      </c>
      <c r="M18" cm="1">
        <f t="array" ref="M18">BSoptionValue(C$4,StrikePrice,$L18,sigma,TimeofExpiration,Style)</f>
        <v>7366.2257173095168</v>
      </c>
      <c r="N18" cm="1">
        <f t="array" ref="N18">BSoptionValue(D$4,StrikePrice,$L18,sigma,TimeofExpiration,Style)</f>
        <v>2428.1647753386642</v>
      </c>
      <c r="O18" cm="1">
        <f t="array" ref="O18">BSoptionValue(E$4,StrikePrice,$L18,sigma,TimeofExpiration,Style)</f>
        <v>29.809273411890899</v>
      </c>
      <c r="Q18">
        <v>0.5</v>
      </c>
      <c r="R18" cm="1">
        <f t="array" ref="R18">BSoptionValue(C$4,StrikePrice,$Q18,sigma,TimeofExpiration,Style)</f>
        <v>18771.426910057831</v>
      </c>
      <c r="S18" cm="1">
        <f t="array" ref="S18">BSoptionValue(D$4,StrikePrice,$Q18,sigma,TimeofExpiration,Style)</f>
        <v>13771.426910057831</v>
      </c>
      <c r="T18" cm="1">
        <f t="array" ref="T18">BSoptionValue(E$4,StrikePrice,$Q18,sigma,TimeofExpiration,Style)</f>
        <v>8771.4269100582351</v>
      </c>
    </row>
    <row r="19" spans="2:20" x14ac:dyDescent="0.4">
      <c r="B19">
        <v>0.11</v>
      </c>
      <c r="C19" cm="1">
        <f t="array" ref="C19">BSoptionValue(StockPrice,StrikePrice,rate,B19,TimeofExpiration,Style)</f>
        <v>5843.7105572154251</v>
      </c>
      <c r="D19" cm="1">
        <f t="array" ref="D19">BSoptionValue(D$4,StrikePrice,rate,$B19,TimeofExpiration,Style)</f>
        <v>1891.5058851451904</v>
      </c>
      <c r="E19" cm="1">
        <f t="array" ref="E19">BSoptionValue(E$4,StrikePrice,rate,$B19,TimeofExpiration,Style)</f>
        <v>189.97807426346571</v>
      </c>
      <c r="G19">
        <v>0.35</v>
      </c>
      <c r="H19" cm="1">
        <f t="array" ref="H19">BSoptionValue(StockPrice,StrikePrice,rate,G19,TimeofExpiration,Style)</f>
        <v>8490.518609232</v>
      </c>
      <c r="I19" cm="1">
        <f t="array" ref="I19">BSoptionValue(D$4,StrikePrice,rate,$G19,TimeofExpiration,Style)</f>
        <v>5168.3742737991197</v>
      </c>
      <c r="J19" cm="1">
        <f t="array" ref="J19">BSoptionValue(E$4,StrikePrice,rate,$G19,TimeofExpiration,Style)</f>
        <v>2633.5479287122998</v>
      </c>
      <c r="L19">
        <v>0.08</v>
      </c>
      <c r="M19" cm="1">
        <f t="array" ref="M19">BSoptionValue(C$4,StrikePrice,$L19,sigma,TimeofExpiration,Style)</f>
        <v>7690.9316173403786</v>
      </c>
      <c r="N19" cm="1">
        <f t="array" ref="N19">BSoptionValue(D$4,StrikePrice,$L19,sigma,TimeofExpiration,Style)</f>
        <v>2729.9974868062418</v>
      </c>
      <c r="O19" cm="1">
        <f t="array" ref="O19">BSoptionValue(E$4,StrikePrice,$L19,sigma,TimeofExpiration,Style)</f>
        <v>47.405794482001966</v>
      </c>
      <c r="Q19">
        <v>0.6</v>
      </c>
      <c r="R19" cm="1">
        <f t="array" ref="R19">BSoptionValue(C$4,StrikePrice,$Q19,sigma,TimeofExpiration,Style)</f>
        <v>20791.592736709074</v>
      </c>
      <c r="S19" cm="1">
        <f t="array" ref="S19">BSoptionValue(D$4,StrikePrice,$Q19,sigma,TimeofExpiration,Style)</f>
        <v>15791.592736709074</v>
      </c>
      <c r="T19" cm="1">
        <f t="array" ref="T19">BSoptionValue(E$4,StrikePrice,$Q19,sigma,TimeofExpiration,Style)</f>
        <v>10791.592736709074</v>
      </c>
    </row>
    <row r="20" spans="2:20" x14ac:dyDescent="0.4">
      <c r="B20">
        <v>0.12</v>
      </c>
      <c r="C20" cm="1">
        <f t="array" ref="C20">BSoptionValue(StockPrice,StrikePrice,rate,B20,TimeofExpiration,Style)</f>
        <v>5904.1857297711758</v>
      </c>
      <c r="D20" cm="1">
        <f t="array" ref="D20">BSoptionValue(D$4,StrikePrice,rate,$B20,TimeofExpiration,Style)</f>
        <v>2027.4425625007389</v>
      </c>
      <c r="E20" cm="1">
        <f t="array" ref="E20">BSoptionValue(E$4,StrikePrice,rate,$B20,TimeofExpiration,Style)</f>
        <v>254.63959773933675</v>
      </c>
      <c r="G20">
        <v>0.4</v>
      </c>
      <c r="H20" cm="1">
        <f t="array" ref="H20">BSoptionValue(StockPrice,StrikePrice,rate,G20,TimeofExpiration,Style)</f>
        <v>9157.9402439277073</v>
      </c>
      <c r="I20" cm="1">
        <f t="array" ref="I20">BSoptionValue(D$4,StrikePrice,rate,$G20,TimeofExpiration,Style)</f>
        <v>5846.5460198763831</v>
      </c>
      <c r="J20" cm="1">
        <f t="array" ref="J20">BSoptionValue(E$4,StrikePrice,rate,$G20,TimeofExpiration,Style)</f>
        <v>3223.1728842611301</v>
      </c>
      <c r="L20">
        <v>0.09</v>
      </c>
      <c r="M20" cm="1">
        <f t="array" ref="M20">BSoptionValue(C$4,StrikePrice,$L20,sigma,TimeofExpiration,Style)</f>
        <v>8012.4099480764962</v>
      </c>
      <c r="N20" cm="1">
        <f t="array" ref="N20">BSoptionValue(D$4,StrikePrice,$L20,sigma,TimeofExpiration,Style)</f>
        <v>3036.2858070062248</v>
      </c>
      <c r="O20" cm="1">
        <f t="array" ref="O20">BSoptionValue(E$4,StrikePrice,$L20,sigma,TimeofExpiration,Style)</f>
        <v>73.087622387982719</v>
      </c>
      <c r="Q20">
        <v>0.7</v>
      </c>
      <c r="R20" cm="1">
        <f t="array" ref="R20">BSoptionValue(C$4,StrikePrice,$Q20,sigma,TimeofExpiration,Style)</f>
        <v>22619.514367300668</v>
      </c>
      <c r="S20" cm="1">
        <f t="array" ref="S20">BSoptionValue(D$4,StrikePrice,$Q20,sigma,TimeofExpiration,Style)</f>
        <v>17619.514367300668</v>
      </c>
      <c r="T20" cm="1">
        <f t="array" ref="T20">BSoptionValue(E$4,StrikePrice,$Q20,sigma,TimeofExpiration,Style)</f>
        <v>12619.514367300668</v>
      </c>
    </row>
    <row r="21" spans="2:20" x14ac:dyDescent="0.4">
      <c r="B21">
        <v>0.13</v>
      </c>
      <c r="C21" cm="1">
        <f t="array" ref="C21">BSoptionValue(StockPrice,StrikePrice,rate,B21,TimeofExpiration,Style)</f>
        <v>5973.5174774969673</v>
      </c>
      <c r="D21" cm="1">
        <f t="array" ref="D21">BSoptionValue(D$4,StrikePrice,rate,$B21,TimeofExpiration,Style)</f>
        <v>2163.6555939677091</v>
      </c>
      <c r="E21" cm="1">
        <f t="array" ref="E21">BSoptionValue(E$4,StrikePrice,rate,$B21,TimeofExpiration,Style)</f>
        <v>326.41271801455605</v>
      </c>
      <c r="G21">
        <v>0.45</v>
      </c>
      <c r="H21" cm="1">
        <f t="array" ref="H21">BSoptionValue(StockPrice,StrikePrice,rate,G21,TimeofExpiration,Style)</f>
        <v>9834.5677266081002</v>
      </c>
      <c r="I21" cm="1">
        <f t="array" ref="I21">BSoptionValue(D$4,StrikePrice,rate,$G21,TimeofExpiration,Style)</f>
        <v>6521.5498190363342</v>
      </c>
      <c r="J21" cm="1">
        <f t="array" ref="J21">BSoptionValue(E$4,StrikePrice,rate,$G21,TimeofExpiration,Style)</f>
        <v>3818.293896567895</v>
      </c>
      <c r="L21">
        <v>0.1</v>
      </c>
      <c r="M21" cm="1">
        <f t="array" ref="M21">BSoptionValue(C$4,StrikePrice,$L21,sigma,TimeofExpiration,Style)</f>
        <v>8330.6908973319041</v>
      </c>
      <c r="N21" cm="1">
        <f t="array" ref="N21">BSoptionValue(D$4,StrikePrice,$L21,sigma,TimeofExpiration,Style)</f>
        <v>3344.8209570653999</v>
      </c>
      <c r="O21" cm="1">
        <f t="array" ref="O21">BSoptionValue(E$4,StrikePrice,$L21,sigma,TimeofExpiration,Style)</f>
        <v>109.33224302265171</v>
      </c>
      <c r="Q21">
        <v>0.8</v>
      </c>
      <c r="R21" cm="1">
        <f t="array" ref="R21">BSoptionValue(C$4,StrikePrice,$Q21,sigma,TimeofExpiration,Style)</f>
        <v>24273.486255897245</v>
      </c>
      <c r="S21" cm="1">
        <f t="array" ref="S21">BSoptionValue(D$4,StrikePrice,$Q21,sigma,TimeofExpiration,Style)</f>
        <v>19273.486255897245</v>
      </c>
      <c r="T21" cm="1">
        <f t="array" ref="T21">BSoptionValue(E$4,StrikePrice,$Q21,sigma,TimeofExpiration,Style)</f>
        <v>14273.486255897245</v>
      </c>
    </row>
    <row r="22" spans="2:20" x14ac:dyDescent="0.4">
      <c r="B22">
        <v>0.14000000000000001</v>
      </c>
      <c r="C22" cm="1">
        <f t="array" ref="C22">BSoptionValue(StockPrice,StrikePrice,rate,B22,TimeofExpiration,Style)</f>
        <v>6050.7084744398671</v>
      </c>
      <c r="D22" cm="1">
        <f t="array" ref="D22">BSoptionValue(D$4,StrikePrice,rate,$B22,TimeofExpiration,Style)</f>
        <v>2300.0739775284128</v>
      </c>
      <c r="E22" cm="1">
        <f t="array" ref="E22">BSoptionValue(E$4,StrikePrice,rate,$B22,TimeofExpiration,Style)</f>
        <v>404.31498434990863</v>
      </c>
      <c r="G22">
        <v>0.5</v>
      </c>
      <c r="H22" cm="1">
        <f t="array" ref="H22">BSoptionValue(StockPrice,StrikePrice,rate,G22,TimeofExpiration,Style)</f>
        <v>10516.266707003593</v>
      </c>
      <c r="I22" cm="1">
        <f t="array" ref="I22">BSoptionValue(D$4,StrikePrice,rate,$G22,TimeofExpiration,Style)</f>
        <v>7192.9167679250859</v>
      </c>
      <c r="J22" cm="1">
        <f t="array" ref="J22">BSoptionValue(E$4,StrikePrice,rate,$G22,TimeofExpiration,Style)</f>
        <v>4416.0221836993769</v>
      </c>
      <c r="L22">
        <v>0.11</v>
      </c>
      <c r="M22" cm="1">
        <f t="array" ref="M22">BSoptionValue(C$4,StrikePrice,$L22,sigma,TimeofExpiration,Style)</f>
        <v>8645.8054525129592</v>
      </c>
      <c r="N22" cm="1">
        <f t="array" ref="N22">BSoptionValue(D$4,StrikePrice,$L22,sigma,TimeofExpiration,Style)</f>
        <v>3653.8978166346787</v>
      </c>
      <c r="O22" cm="1">
        <f t="array" ref="O22">BSoptionValue(E$4,StrikePrice,$L22,sigma,TimeofExpiration,Style)</f>
        <v>158.83264057542056</v>
      </c>
      <c r="Q22">
        <v>0.9</v>
      </c>
      <c r="R22" cm="1">
        <f t="array" ref="R22">BSoptionValue(C$4,StrikePrice,$Q22,sigma,TimeofExpiration,Style)</f>
        <v>25770.061909079031</v>
      </c>
      <c r="S22" cm="1">
        <f t="array" ref="S22">BSoptionValue(D$4,StrikePrice,$Q22,sigma,TimeofExpiration,Style)</f>
        <v>20770.061909079031</v>
      </c>
      <c r="T22" cm="1">
        <f t="array" ref="T22">BSoptionValue(E$4,StrikePrice,$Q22,sigma,TimeofExpiration,Style)</f>
        <v>15770.061909079031</v>
      </c>
    </row>
    <row r="23" spans="2:20" x14ac:dyDescent="0.4">
      <c r="B23">
        <v>0.15</v>
      </c>
      <c r="C23" cm="1">
        <f t="array" ref="C23">BSoptionValue(StockPrice,StrikePrice,rate,B23,TimeofExpiration,Style)</f>
        <v>6134.8199677815101</v>
      </c>
      <c r="D23" cm="1">
        <f t="array" ref="D23">BSoptionValue(D$4,StrikePrice,rate,$B23,TimeofExpiration,Style)</f>
        <v>2436.644575593953</v>
      </c>
      <c r="E23" cm="1">
        <f t="array" ref="E23">BSoptionValue(E$4,StrikePrice,rate,$B23,TimeofExpiration,Style)</f>
        <v>487.49009525564634</v>
      </c>
      <c r="G23">
        <v>0.55000000000000004</v>
      </c>
      <c r="H23" cm="1">
        <f t="array" ref="H23">BSoptionValue(StockPrice,StrikePrice,rate,G23,TimeofExpiration,Style)</f>
        <v>11200.200553700644</v>
      </c>
      <c r="I23" cm="1">
        <f t="array" ref="I23">BSoptionValue(D$4,StrikePrice,rate,$G23,TimeofExpiration,Style)</f>
        <v>7860.2088231782509</v>
      </c>
      <c r="J23" cm="1">
        <f t="array" ref="J23">BSoptionValue(E$4,StrikePrice,rate,$G23,TimeofExpiration,Style)</f>
        <v>5014.361073891554</v>
      </c>
      <c r="L23">
        <v>0.12</v>
      </c>
      <c r="M23" cm="1">
        <f t="array" ref="M23">BSoptionValue(C$4,StrikePrice,$L23,sigma,TimeofExpiration,Style)</f>
        <v>8957.7847792287102</v>
      </c>
      <c r="N23" cm="1">
        <f t="array" ref="N23">BSoptionValue(D$4,StrikePrice,$L23,sigma,TimeofExpiration,Style)</f>
        <v>3962.2670916270908</v>
      </c>
      <c r="O23" cm="1">
        <f t="array" ref="O23">BSoptionValue(E$4,StrikePrice,$L23,sigma,TimeofExpiration,Style)</f>
        <v>224.31107113054895</v>
      </c>
      <c r="Q23">
        <v>1</v>
      </c>
      <c r="R23" cm="1">
        <f t="array" ref="R23">BSoptionValue(C$4,StrikePrice,$Q23,sigma,TimeofExpiration,Style)</f>
        <v>27124.219558999517</v>
      </c>
      <c r="S23" cm="1">
        <f t="array" ref="S23">BSoptionValue(D$4,StrikePrice,$Q23,sigma,TimeofExpiration,Style)</f>
        <v>22124.219558999517</v>
      </c>
      <c r="T23" cm="1">
        <f t="array" ref="T23">BSoptionValue(E$4,StrikePrice,$Q23,sigma,TimeofExpiration,Style)</f>
        <v>17124.219558999517</v>
      </c>
    </row>
    <row r="24" spans="2:20" x14ac:dyDescent="0.4">
      <c r="B24">
        <v>0.16</v>
      </c>
      <c r="C24" cm="1">
        <f t="array" ref="C24">BSoptionValue(StockPrice,StrikePrice,rate,B24,TimeofExpiration,Style)</f>
        <v>6225.0029281228381</v>
      </c>
      <c r="D24" cm="1">
        <f t="array" ref="D24">BSoptionValue(D$4,StrikePrice,rate,$B24,TimeofExpiration,Style)</f>
        <v>2573.3265866897818</v>
      </c>
      <c r="E24" cm="1">
        <f t="array" ref="E24">BSoptionValue(E$4,StrikePrice,rate,$B24,TimeofExpiration,Style)</f>
        <v>575.20449174853638</v>
      </c>
      <c r="G24">
        <v>0.6</v>
      </c>
      <c r="H24" cm="1">
        <f t="array" ref="H24">BSoptionValue(StockPrice,StrikePrice,rate,G24,TimeofExpiration,Style)</f>
        <v>11884.317668730753</v>
      </c>
      <c r="I24" cm="1">
        <f t="array" ref="I24">BSoptionValue(D$4,StrikePrice,rate,$G24,TimeofExpiration,Style)</f>
        <v>8523.0095595174225</v>
      </c>
      <c r="J24" cm="1">
        <f t="array" ref="J24">BSoptionValue(E$4,StrikePrice,rate,$G24,TimeofExpiration,Style)</f>
        <v>5611.8501483259097</v>
      </c>
      <c r="L24">
        <v>0.13</v>
      </c>
      <c r="M24" cm="1">
        <f t="array" ref="M24">BSoptionValue(C$4,StrikePrice,$L24,sigma,TimeofExpiration,Style)</f>
        <v>9266.6599389912299</v>
      </c>
      <c r="N24" cm="1">
        <f t="array" ref="N24">BSoptionValue(D$4,StrikePrice,$L24,sigma,TimeofExpiration,Style)</f>
        <v>4269.0598586964879</v>
      </c>
      <c r="O24" cm="1">
        <f t="array" ref="O24">BSoptionValue(E$4,StrikePrice,$L24,sigma,TimeofExpiration,Style)</f>
        <v>308.28484837902761</v>
      </c>
      <c r="Q24">
        <v>1.1000000000000001</v>
      </c>
      <c r="R24" cm="1">
        <f t="array" ref="R24">BSoptionValue(C$4,StrikePrice,$Q24,sigma,TimeofExpiration,Style)</f>
        <v>28349.512070567216</v>
      </c>
      <c r="S24" cm="1">
        <f t="array" ref="S24">BSoptionValue(D$4,StrikePrice,$Q24,sigma,TimeofExpiration,Style)</f>
        <v>23349.512070567216</v>
      </c>
      <c r="T24" cm="1">
        <f t="array" ref="T24">BSoptionValue(E$4,StrikePrice,$Q24,sigma,TimeofExpiration,Style)</f>
        <v>18349.512070567216</v>
      </c>
    </row>
    <row r="25" spans="2:20" x14ac:dyDescent="0.4">
      <c r="B25">
        <v>0.17</v>
      </c>
      <c r="C25" cm="1">
        <f t="array" ref="C25">BSoptionValue(StockPrice,StrikePrice,rate,B25,TimeofExpiration,Style)</f>
        <v>6320.5063984531371</v>
      </c>
      <c r="D25" cm="1">
        <f t="array" ref="D25">BSoptionValue(D$4,StrikePrice,rate,$B25,TimeofExpiration,Style)</f>
        <v>2710.0879485862934</v>
      </c>
      <c r="E25" cm="1">
        <f t="array" ref="E25">BSoptionValue(E$4,StrikePrice,rate,$B25,TimeofExpiration,Style)</f>
        <v>666.83502223888445</v>
      </c>
      <c r="G25">
        <v>0.65</v>
      </c>
      <c r="H25" cm="1">
        <f t="array" ref="H25">BSoptionValue(StockPrice,StrikePrice,rate,G25,TimeofExpiration,Style)</f>
        <v>12567.064462713528</v>
      </c>
      <c r="I25" cm="1">
        <f t="array" ref="I25">BSoptionValue(D$4,StrikePrice,rate,$G25,TimeofExpiration,Style)</f>
        <v>9180.9194890478648</v>
      </c>
      <c r="J25" cm="1">
        <f t="array" ref="J25">BSoptionValue(E$4,StrikePrice,rate,$G25,TimeofExpiration,Style)</f>
        <v>6207.3680333035973</v>
      </c>
      <c r="L25">
        <v>0.14000000000000001</v>
      </c>
      <c r="M25" cm="1">
        <f t="array" ref="M25">BSoptionValue(C$4,StrikePrice,$L25,sigma,TimeofExpiration,Style)</f>
        <v>9572.4617677761889</v>
      </c>
      <c r="N25" cm="1">
        <f t="array" ref="N25">BSoptionValue(D$4,StrikePrice,$L25,sigma,TimeofExpiration,Style)</f>
        <v>4573.7032867676207</v>
      </c>
      <c r="O25" cm="1">
        <f t="array" ref="O25">BSoptionValue(E$4,StrikePrice,$L25,sigma,TimeofExpiration,Style)</f>
        <v>412.8140306653313</v>
      </c>
      <c r="Q25">
        <v>1.2</v>
      </c>
      <c r="R25" cm="1">
        <f t="array" ref="R25">BSoptionValue(C$4,StrikePrice,$Q25,sigma,TimeofExpiration,Style)</f>
        <v>29458.202583072925</v>
      </c>
      <c r="S25" cm="1">
        <f t="array" ref="S25">BSoptionValue(D$4,StrikePrice,$Q25,sigma,TimeofExpiration,Style)</f>
        <v>24458.202583072925</v>
      </c>
      <c r="T25" cm="1">
        <f t="array" ref="T25">BSoptionValue(E$4,StrikePrice,$Q25,sigma,TimeofExpiration,Style)</f>
        <v>19458.202583072925</v>
      </c>
    </row>
    <row r="26" spans="2:20" x14ac:dyDescent="0.4">
      <c r="B26">
        <v>0.18</v>
      </c>
      <c r="C26" cm="1">
        <f t="array" ref="C26">BSoptionValue(StockPrice,StrikePrice,rate,B26,TimeofExpiration,Style)</f>
        <v>6420.674396414146</v>
      </c>
      <c r="D26" cm="1">
        <f t="array" ref="D26">BSoptionValue(D$4,StrikePrice,rate,$B26,TimeofExpiration,Style)</f>
        <v>2846.9029297891793</v>
      </c>
      <c r="E26" cm="1">
        <f t="array" ref="E26">BSoptionValue(E$4,StrikePrice,rate,$B26,TimeofExpiration,Style)</f>
        <v>761.85404221985937</v>
      </c>
      <c r="G26">
        <v>0.7</v>
      </c>
      <c r="H26" cm="1">
        <f t="array" ref="H26">BSoptionValue(StockPrice,StrikePrice,rate,G26,TimeofExpiration,Style)</f>
        <v>13247.216781902715</v>
      </c>
      <c r="I26" cm="1">
        <f t="array" ref="I26">BSoptionValue(D$4,StrikePrice,rate,$G26,TimeofExpiration,Style)</f>
        <v>9833.5536492138763</v>
      </c>
      <c r="J26" cm="1">
        <f t="array" ref="J26">BSoptionValue(E$4,StrikePrice,rate,$G26,TimeofExpiration,Style)</f>
        <v>6800.0174508101136</v>
      </c>
      <c r="L26">
        <v>0.15</v>
      </c>
      <c r="M26" cm="1">
        <f t="array" ref="M26">BSoptionValue(C$4,StrikePrice,$L26,sigma,TimeofExpiration,Style)</f>
        <v>9875.2208271815798</v>
      </c>
      <c r="N26" cm="1">
        <f t="array" ref="N26">BSoptionValue(D$4,StrikePrice,$L26,sigma,TimeofExpiration,Style)</f>
        <v>4875.8411043635933</v>
      </c>
      <c r="O26" cm="1">
        <f t="array" ref="O26">BSoptionValue(E$4,StrikePrice,$L26,sigma,TimeofExpiration,Style)</f>
        <v>539.27023066397305</v>
      </c>
      <c r="Q26">
        <v>1.3</v>
      </c>
      <c r="R26" cm="1">
        <f t="array" ref="R26">BSoptionValue(C$4,StrikePrice,$Q26,sigma,TimeofExpiration,Style)</f>
        <v>30461.387243809557</v>
      </c>
      <c r="S26" cm="1">
        <f t="array" ref="S26">BSoptionValue(D$4,StrikePrice,$Q26,sigma,TimeofExpiration,Style)</f>
        <v>25461.387243809557</v>
      </c>
      <c r="T26" cm="1">
        <f t="array" ref="T26">BSoptionValue(E$4,StrikePrice,$Q26,sigma,TimeofExpiration,Style)</f>
        <v>20461.387243809557</v>
      </c>
    </row>
    <row r="27" spans="2:20" x14ac:dyDescent="0.4">
      <c r="B27">
        <v>0.19</v>
      </c>
      <c r="C27" cm="1">
        <f t="array" ref="C27">BSoptionValue(StockPrice,StrikePrice,rate,B27,TimeofExpiration,Style)</f>
        <v>6524.9376864307669</v>
      </c>
      <c r="D27" cm="1">
        <f t="array" ref="D27">BSoptionValue(D$4,StrikePrice,rate,$B27,TimeofExpiration,Style)</f>
        <v>2983.7504756967901</v>
      </c>
      <c r="E27" cm="1">
        <f t="array" ref="E27">BSoptionValue(E$4,StrikePrice,rate,$B27,TimeofExpiration,Style)</f>
        <v>859.81484454698239</v>
      </c>
      <c r="G27">
        <v>0.75</v>
      </c>
      <c r="H27" cm="1">
        <f t="array" ref="H27">BSoptionValue(StockPrice,StrikePrice,rate,G27,TimeofExpiration,Style)</f>
        <v>13923.776777837627</v>
      </c>
      <c r="I27" cm="1">
        <f t="array" ref="I27">BSoptionValue(D$4,StrikePrice,rate,$G27,TimeofExpiration,Style)</f>
        <v>10480.540387682124</v>
      </c>
      <c r="J27" cm="1">
        <f t="array" ref="J27">BSoptionValue(E$4,StrikePrice,rate,$G27,TimeofExpiration,Style)</f>
        <v>7389.0553131054385</v>
      </c>
      <c r="L27">
        <v>0.16</v>
      </c>
      <c r="M27" cm="1">
        <f t="array" ref="M27">BSoptionValue(C$4,StrikePrice,$L27,sigma,TimeofExpiration,Style)</f>
        <v>10174.967386788408</v>
      </c>
      <c r="N27" cm="1">
        <f t="array" ref="N27">BSoptionValue(D$4,StrikePrice,$L27,sigma,TimeofExpiration,Style)</f>
        <v>5175.266561827586</v>
      </c>
      <c r="O27" cm="1">
        <f t="array" ref="O27">BSoptionValue(E$4,StrikePrice,$L27,sigma,TimeofExpiration,Style)</f>
        <v>688.166927950424</v>
      </c>
      <c r="Q27">
        <v>1.4</v>
      </c>
      <c r="R27" cm="1">
        <f t="array" ref="R27">BSoptionValue(C$4,StrikePrice,$Q27,sigma,TimeofExpiration,Style)</f>
        <v>31369.106262043773</v>
      </c>
      <c r="S27" cm="1">
        <f t="array" ref="S27">BSoptionValue(D$4,StrikePrice,$Q27,sigma,TimeofExpiration,Style)</f>
        <v>26369.106262043773</v>
      </c>
      <c r="T27" cm="1">
        <f t="array" ref="T27">BSoptionValue(E$4,StrikePrice,$Q27,sigma,TimeofExpiration,Style)</f>
        <v>21369.106262043773</v>
      </c>
    </row>
    <row r="28" spans="2:20" x14ac:dyDescent="0.4">
      <c r="B28">
        <v>0.2</v>
      </c>
      <c r="C28" cm="1">
        <f t="array" ref="C28">BSoptionValue(StockPrice,StrikePrice,rate,B28,TimeofExpiration,Style)</f>
        <v>6632.8037845021099</v>
      </c>
      <c r="D28" cm="1">
        <f t="array" ref="D28">BSoptionValue(D$4,StrikePrice,rate,$B28,TimeofExpiration,Style)</f>
        <v>3120.6130475003883</v>
      </c>
      <c r="E28" cm="1">
        <f t="array" ref="E28">BSoptionValue(E$4,StrikePrice,rate,$B28,TimeofExpiration,Style)</f>
        <v>960.33858534784849</v>
      </c>
      <c r="G28">
        <v>0.8</v>
      </c>
      <c r="H28" cm="1">
        <f t="array" ref="H28">BSoptionValue(StockPrice,StrikePrice,rate,G28,TimeofExpiration,Style)</f>
        <v>14595.907571640382</v>
      </c>
      <c r="I28" cm="1">
        <f t="array" ref="I28">BSoptionValue(D$4,StrikePrice,rate,$G28,TimeofExpiration,Style)</f>
        <v>11121.520807131519</v>
      </c>
      <c r="J28" cm="1">
        <f t="array" ref="J28">BSoptionValue(E$4,StrikePrice,rate,$G28,TimeofExpiration,Style)</f>
        <v>7973.8486576049945</v>
      </c>
      <c r="L28">
        <v>0.17</v>
      </c>
      <c r="M28" cm="1">
        <f t="array" ref="M28">BSoptionValue(C$4,StrikePrice,$L28,sigma,TimeofExpiration,Style)</f>
        <v>10471.731419298179</v>
      </c>
      <c r="N28" cm="1">
        <f t="array" ref="N28">BSoptionValue(D$4,StrikePrice,$L28,sigma,TimeofExpiration,Style)</f>
        <v>5471.8706769911478</v>
      </c>
      <c r="O28" cm="1">
        <f t="array" ref="O28">BSoptionValue(E$4,StrikePrice,$L28,sigma,TimeofExpiration,Style)</f>
        <v>859.08319372338519</v>
      </c>
      <c r="Q28">
        <v>1.5</v>
      </c>
      <c r="R28" cm="1">
        <f t="array" ref="R28">BSoptionValue(C$4,StrikePrice,$Q28,sigma,TimeofExpiration,Style)</f>
        <v>32190.444394804956</v>
      </c>
      <c r="S28" cm="1">
        <f t="array" ref="S28">BSoptionValue(D$4,StrikePrice,$Q28,sigma,TimeofExpiration,Style)</f>
        <v>27190.444394804956</v>
      </c>
      <c r="T28" cm="1">
        <f t="array" ref="T28">BSoptionValue(E$4,StrikePrice,$Q28,sigma,TimeofExpiration,Style)</f>
        <v>22190.444394804956</v>
      </c>
    </row>
    <row r="30" spans="2:20" x14ac:dyDescent="0.4">
      <c r="B30" t="s">
        <v>15</v>
      </c>
      <c r="C30" t="s">
        <v>4</v>
      </c>
      <c r="D30" t="s">
        <v>16</v>
      </c>
      <c r="E30" t="s">
        <v>24</v>
      </c>
      <c r="F30" t="s">
        <v>26</v>
      </c>
      <c r="G30" t="s">
        <v>25</v>
      </c>
      <c r="J30" t="s">
        <v>15</v>
      </c>
      <c r="K30" t="s">
        <v>4</v>
      </c>
      <c r="L30" t="s">
        <v>16</v>
      </c>
      <c r="M30" t="s">
        <v>24</v>
      </c>
      <c r="N30" t="s">
        <v>26</v>
      </c>
      <c r="O30" t="s">
        <v>25</v>
      </c>
    </row>
    <row r="31" spans="2:20" x14ac:dyDescent="0.4">
      <c r="B31">
        <v>1</v>
      </c>
      <c r="C31">
        <v>1</v>
      </c>
      <c r="D31">
        <f>+$B$31-C31</f>
        <v>0</v>
      </c>
      <c r="E31" cm="1">
        <f t="array" ref="E31">BSoptionValue(C$4,StrikePrice,rate,sigma,$C31,Style)</f>
        <v>5693.5966190913314</v>
      </c>
      <c r="F31" cm="1">
        <f t="array" ref="F31">BSoptionValue(D$4,StrikePrice,rate,sigma,$C31,Style)</f>
        <v>1092.2420112201835</v>
      </c>
      <c r="G31" cm="1">
        <f t="array" ref="G31">BSoptionValue(E$4,StrikePrice,rate,sigma,$C31,Style)</f>
        <v>1.7969167745359584</v>
      </c>
      <c r="J31">
        <v>10</v>
      </c>
      <c r="K31">
        <f>J31</f>
        <v>10</v>
      </c>
      <c r="L31">
        <f>+$J$31-K31</f>
        <v>0</v>
      </c>
      <c r="M31" cm="1">
        <f t="array" ref="M31">BSoptionValue(C$4,StrikePrice,rate,sigma,$K31,Style)</f>
        <v>11378.073023991787</v>
      </c>
      <c r="N31" cm="1">
        <f t="array" ref="N31">BSoptionValue(D$4,StrikePrice,rate,sigma,$K31,Style)</f>
        <v>6589.4176897578145</v>
      </c>
      <c r="O31" cm="1">
        <f t="array" ref="O31">BSoptionValue(E$4,StrikePrice,rate,sigma,$K31,Style)</f>
        <v>2597.2134285659195</v>
      </c>
    </row>
    <row r="32" spans="2:20" x14ac:dyDescent="0.4">
      <c r="C32">
        <f>C31-1/12</f>
        <v>0.91666666666666663</v>
      </c>
      <c r="D32">
        <f t="shared" ref="D32:D43" si="0">+$B$31-C32</f>
        <v>8.333333333333337E-2</v>
      </c>
      <c r="E32" cm="1">
        <f t="array" ref="E32">BSoptionValue(C$4,StrikePrice,rate,sigma,$C32,Style)</f>
        <v>5636.1845811236271</v>
      </c>
      <c r="F32" cm="1">
        <f t="array" ref="F32">BSoptionValue(D$4,StrikePrice,rate,sigma,$C32,Style)</f>
        <v>1028.1745912991501</v>
      </c>
      <c r="G32" cm="1">
        <f t="array" ref="G32">BSoptionValue(E$4,StrikePrice,rate,sigma,$C32,Style)</f>
        <v>1.0318514535373424</v>
      </c>
      <c r="K32">
        <f>K31-1</f>
        <v>9</v>
      </c>
      <c r="L32">
        <f t="shared" ref="L32:L41" si="1">+$J$31-K32</f>
        <v>1</v>
      </c>
      <c r="M32" cm="1">
        <f t="array" ref="M32">BSoptionValue(C$4,StrikePrice,rate,sigma,$K32,Style)</f>
        <v>10799.553196709076</v>
      </c>
      <c r="N32" cm="1">
        <f t="array" ref="N32">BSoptionValue(D$4,StrikePrice,rate,sigma,$K32,Style)</f>
        <v>6034.2203763706893</v>
      </c>
      <c r="O32" cm="1">
        <f t="array" ref="O32">BSoptionValue(E$4,StrikePrice,rate,sigma,$K32,Style)</f>
        <v>2179.6220685499775</v>
      </c>
    </row>
    <row r="33" spans="2:15" x14ac:dyDescent="0.4">
      <c r="C33">
        <f>+C32-1/12</f>
        <v>0.83333333333333326</v>
      </c>
      <c r="D33">
        <f t="shared" si="0"/>
        <v>0.16666666666666674</v>
      </c>
      <c r="E33" cm="1">
        <f t="array" ref="E33">BSoptionValue(C$4,StrikePrice,rate,sigma,$C33,Style)</f>
        <v>5578.7223782609726</v>
      </c>
      <c r="F33" cm="1">
        <f t="array" ref="F33">BSoptionValue(D$4,StrikePrice,rate,sigma,$C33,Style)</f>
        <v>962.9104170886385</v>
      </c>
      <c r="G33" cm="1">
        <f t="array" ref="G33">BSoptionValue(E$4,StrikePrice,rate,sigma,$C33,Style)</f>
        <v>0.53686953014304351</v>
      </c>
      <c r="K33">
        <f t="shared" ref="K33:K41" si="2">K32-1</f>
        <v>8</v>
      </c>
      <c r="L33">
        <f t="shared" si="1"/>
        <v>2</v>
      </c>
      <c r="M33" cm="1">
        <f t="array" ref="M33">BSoptionValue(C$4,StrikePrice,rate,sigma,$K33,Style)</f>
        <v>10208.692020670176</v>
      </c>
      <c r="N33" cm="1">
        <f t="array" ref="N33">BSoptionValue(D$4,StrikePrice,rate,sigma,$K33,Style)</f>
        <v>5469.0547176294349</v>
      </c>
      <c r="O33" cm="1">
        <f t="array" ref="O33">BSoptionValue(E$4,StrikePrice,rate,sigma,$K33,Style)</f>
        <v>1775.1511234338031</v>
      </c>
    </row>
    <row r="34" spans="2:15" x14ac:dyDescent="0.4">
      <c r="C34">
        <f t="shared" ref="C34:C42" si="3">+C33-1/12</f>
        <v>0.74999999999999989</v>
      </c>
      <c r="D34">
        <f t="shared" si="0"/>
        <v>0.25000000000000011</v>
      </c>
      <c r="E34" cm="1">
        <f t="array" ref="E34">BSoptionValue(C$4,StrikePrice,rate,sigma,$C34,Style)</f>
        <v>5521.2059614851387</v>
      </c>
      <c r="F34" cm="1">
        <f t="array" ref="F34">BSoptionValue(D$4,StrikePrice,rate,sigma,$C34,Style)</f>
        <v>896.25002429591405</v>
      </c>
      <c r="G34" cm="1">
        <f t="array" ref="G34">BSoptionValue(E$4,StrikePrice,rate,sigma,$C34,Style)</f>
        <v>0.24526764308682303</v>
      </c>
      <c r="K34">
        <f t="shared" si="2"/>
        <v>7</v>
      </c>
      <c r="L34">
        <f t="shared" si="1"/>
        <v>3</v>
      </c>
      <c r="M34" cm="1">
        <f t="array" ref="M34">BSoptionValue(C$4,StrikePrice,rate,sigma,$K34,Style)</f>
        <v>9605.0282621253937</v>
      </c>
      <c r="N34" cm="1">
        <f t="array" ref="N34">BSoptionValue(D$4,StrikePrice,rate,sigma,$K34,Style)</f>
        <v>4893.493361683737</v>
      </c>
      <c r="O34" cm="1">
        <f t="array" ref="O34">BSoptionValue(E$4,StrikePrice,rate,sigma,$K34,Style)</f>
        <v>1388.6975880403588</v>
      </c>
    </row>
    <row r="35" spans="2:15" x14ac:dyDescent="0.4">
      <c r="C35">
        <f t="shared" si="3"/>
        <v>0.66666666666666652</v>
      </c>
      <c r="D35">
        <f t="shared" si="0"/>
        <v>0.33333333333333348</v>
      </c>
      <c r="E35" cm="1">
        <f t="array" ref="E35">BSoptionValue(C$4,StrikePrice,rate,sigma,$C35,Style)</f>
        <v>5463.6292936378013</v>
      </c>
      <c r="F35" cm="1">
        <f t="array" ref="F35">BSoptionValue(D$4,StrikePrice,rate,sigma,$C35,Style)</f>
        <v>827.93478890506231</v>
      </c>
      <c r="G35" cm="1">
        <f t="array" ref="G35">BSoptionValue(E$4,StrikePrice,rate,sigma,$C35,Style)</f>
        <v>9.3892623568549993E-2</v>
      </c>
      <c r="K35">
        <f t="shared" si="2"/>
        <v>6</v>
      </c>
      <c r="L35">
        <f t="shared" si="1"/>
        <v>4</v>
      </c>
      <c r="M35" cm="1">
        <f t="array" ref="M35">BSoptionValue(C$4,StrikePrice,rate,sigma,$K35,Style)</f>
        <v>8988.0489223988079</v>
      </c>
      <c r="N35" cm="1">
        <f t="array" ref="N35">BSoptionValue(D$4,StrikePrice,rate,sigma,$K35,Style)</f>
        <v>4306.8554443619578</v>
      </c>
      <c r="O35" cm="1">
        <f t="array" ref="O35">BSoptionValue(E$4,StrikePrice,rate,sigma,$K35,Style)</f>
        <v>1026.7162386467699</v>
      </c>
    </row>
    <row r="36" spans="2:15" x14ac:dyDescent="0.4">
      <c r="C36">
        <f t="shared" si="3"/>
        <v>0.58333333333333315</v>
      </c>
      <c r="D36">
        <f t="shared" si="0"/>
        <v>0.41666666666666685</v>
      </c>
      <c r="E36" cm="1">
        <f t="array" ref="E36">BSoptionValue(C$4,StrikePrice,rate,sigma,$C36,Style)</f>
        <v>5405.9845823689466</v>
      </c>
      <c r="F36" cm="1">
        <f t="array" ref="F36">BSoptionValue(D$4,StrikePrice,rate,sigma,$C36,Style)</f>
        <v>757.61966015728467</v>
      </c>
      <c r="G36" cm="1">
        <f t="array" ref="G36">BSoptionValue(E$4,StrikePrice,rate,sigma,$C36,Style)</f>
        <v>2.8002719617877148E-2</v>
      </c>
      <c r="K36">
        <f t="shared" si="2"/>
        <v>5</v>
      </c>
      <c r="L36">
        <f t="shared" si="1"/>
        <v>5</v>
      </c>
      <c r="M36" cm="1">
        <f t="array" ref="M36">BSoptionValue(C$4,StrikePrice,rate,sigma,$K36,Style)</f>
        <v>8357.2061692003517</v>
      </c>
      <c r="N36" cm="1">
        <f t="array" ref="N36">BSoptionValue(D$4,StrikePrice,rate,sigma,$K36,Style)</f>
        <v>3707.99514676943</v>
      </c>
      <c r="O36" cm="1">
        <f t="array" ref="O36">BSoptionValue(E$4,StrikePrice,rate,sigma,$K36,Style)</f>
        <v>697.88826796136709</v>
      </c>
    </row>
    <row r="37" spans="2:15" x14ac:dyDescent="0.4">
      <c r="C37">
        <f t="shared" si="3"/>
        <v>0.49999999999999983</v>
      </c>
      <c r="D37">
        <f t="shared" si="0"/>
        <v>0.50000000000000022</v>
      </c>
      <c r="E37" cm="1">
        <f t="array" ref="E37">BSoptionValue(C$4,StrikePrice,rate,sigma,$C37,Style)</f>
        <v>5348.2630250094153</v>
      </c>
      <c r="F37" cm="1">
        <f t="array" ref="F37">BSoptionValue(D$4,StrikePrice,rate,sigma,$C37,Style)</f>
        <v>684.82737634104706</v>
      </c>
      <c r="G37" cm="1">
        <f t="array" ref="G37">BSoptionValue(E$4,StrikePrice,rate,sigma,$C37,Style)</f>
        <v>5.7682264197584932E-3</v>
      </c>
      <c r="K37">
        <f t="shared" si="2"/>
        <v>4</v>
      </c>
      <c r="L37">
        <f t="shared" si="1"/>
        <v>6</v>
      </c>
      <c r="M37" cm="1">
        <f t="array" ref="M37">BSoptionValue(C$4,StrikePrice,rate,sigma,$K37,Style)</f>
        <v>7711.9883041287867</v>
      </c>
      <c r="N37" cm="1">
        <f t="array" ref="N37">BSoptionValue(D$4,StrikePrice,rate,sigma,$K37,Style)</f>
        <v>3094.8583402829099</v>
      </c>
      <c r="O37" cm="1">
        <f t="array" ref="O37">BSoptionValue(E$4,StrikePrice,rate,sigma,$K37,Style)</f>
        <v>414.09205778675914</v>
      </c>
    </row>
    <row r="38" spans="2:15" x14ac:dyDescent="0.4">
      <c r="C38">
        <f t="shared" si="3"/>
        <v>0.41666666666666652</v>
      </c>
      <c r="D38">
        <f t="shared" si="0"/>
        <v>0.58333333333333348</v>
      </c>
      <c r="E38" cm="1">
        <f t="array" ref="E38">BSoptionValue(C$4,StrikePrice,rate,sigma,$C38,Style)</f>
        <v>5290.4561426088912</v>
      </c>
      <c r="F38" cm="1">
        <f t="array" ref="F38">BSoptionValue(D$4,StrikePrice,rate,sigma,$C38,Style)</f>
        <v>608.86605928972131</v>
      </c>
      <c r="G38" cm="1">
        <f t="array" ref="G38">BSoptionValue(E$4,StrikePrice,rate,sigma,$C38,Style)</f>
        <v>6.6190436855935453E-4</v>
      </c>
      <c r="K38">
        <f t="shared" si="2"/>
        <v>3</v>
      </c>
      <c r="L38">
        <f t="shared" si="1"/>
        <v>7</v>
      </c>
      <c r="M38" cm="1">
        <f t="array" ref="M38">BSoptionValue(C$4,StrikePrice,rate,sigma,$K38,Style)</f>
        <v>7052.1465111699072</v>
      </c>
      <c r="N38" cm="1">
        <f t="array" ref="N38">BSoptionValue(D$4,StrikePrice,rate,sigma,$K38,Style)</f>
        <v>2463.4311421330349</v>
      </c>
      <c r="O38" cm="1">
        <f t="array" ref="O38">BSoptionValue(E$4,StrikePrice,rate,sigma,$K38,Style)</f>
        <v>191.54834045942425</v>
      </c>
    </row>
    <row r="39" spans="2:15" x14ac:dyDescent="0.4">
      <c r="C39">
        <f t="shared" si="3"/>
        <v>0.3333333333333332</v>
      </c>
      <c r="D39">
        <f t="shared" si="0"/>
        <v>0.66666666666666674</v>
      </c>
      <c r="E39" cm="1">
        <f t="array" ref="E39">BSoptionValue(C$4,StrikePrice,rate,sigma,$C39,Style)</f>
        <v>5232.557404029154</v>
      </c>
      <c r="F39" cm="1">
        <f t="array" ref="F39">BSoptionValue(D$4,StrikePrice,rate,sigma,$C39,Style)</f>
        <v>528.6665559431749</v>
      </c>
      <c r="G39" cm="1">
        <f t="array" ref="G39">BSoptionValue(E$4,StrikePrice,rate,sigma,$C39,Style)</f>
        <v>2.7626166313281068E-5</v>
      </c>
      <c r="K39">
        <f t="shared" si="2"/>
        <v>2</v>
      </c>
      <c r="L39">
        <f t="shared" si="1"/>
        <v>8</v>
      </c>
      <c r="M39" cm="1">
        <f t="array" ref="M39">BSoptionValue(C$4,StrikePrice,rate,sigma,$K39,Style)</f>
        <v>6378.3528326352243</v>
      </c>
      <c r="N39" cm="1">
        <f t="array" ref="N39">BSoptionValue(D$4,StrikePrice,rate,sigma,$K39,Style)</f>
        <v>1804.7131598864435</v>
      </c>
      <c r="O39" cm="1">
        <f t="array" ref="O39">BSoptionValue(E$4,StrikePrice,rate,sigma,$K39,Style)</f>
        <v>50.437420536761692</v>
      </c>
    </row>
    <row r="40" spans="2:15" x14ac:dyDescent="0.4">
      <c r="C40">
        <f t="shared" si="3"/>
        <v>0.24999999999999989</v>
      </c>
      <c r="D40">
        <f t="shared" si="0"/>
        <v>0.75000000000000011</v>
      </c>
      <c r="E40" cm="1">
        <f t="array" ref="E40">BSoptionValue(C$4,StrikePrice,rate,sigma,$C40,Style)</f>
        <v>5174.5632306415137</v>
      </c>
      <c r="F40" cm="1">
        <f t="array" ref="F40">BSoptionValue(D$4,StrikePrice,rate,sigma,$C40,Style)</f>
        <v>442.41693208587458</v>
      </c>
      <c r="G40" cm="1">
        <f t="array" ref="G40">BSoptionValue(E$4,StrikePrice,rate,sigma,$C40,Style)</f>
        <v>1.5645564031990415E-7</v>
      </c>
      <c r="K40">
        <f t="shared" si="2"/>
        <v>1</v>
      </c>
      <c r="L40">
        <f t="shared" si="1"/>
        <v>9</v>
      </c>
      <c r="M40" cm="1">
        <f t="array" ref="M40">BSoptionValue(C$4,StrikePrice,rate,sigma,$K40,Style)</f>
        <v>5693.5966190913314</v>
      </c>
      <c r="N40" cm="1">
        <f t="array" ref="N40">BSoptionValue(D$4,StrikePrice,rate,sigma,$K40,Style)</f>
        <v>1092.2420112201835</v>
      </c>
      <c r="O40" cm="1">
        <f t="array" ref="O40">BSoptionValue(E$4,StrikePrice,rate,sigma,$K40,Style)</f>
        <v>1.7969167745359584</v>
      </c>
    </row>
    <row r="41" spans="2:15" x14ac:dyDescent="0.4">
      <c r="C41">
        <f t="shared" si="3"/>
        <v>0.16666666666666657</v>
      </c>
      <c r="D41">
        <f t="shared" si="0"/>
        <v>0.83333333333333348</v>
      </c>
      <c r="E41" cm="1">
        <f t="array" ref="E41">BSoptionValue(C$4,StrikePrice,rate,sigma,$C41,Style)</f>
        <v>5116.4724380927873</v>
      </c>
      <c r="F41" cm="1">
        <f t="array" ref="F41">BSoptionValue(D$4,StrikePrice,rate,sigma,$C41,Style)</f>
        <v>346.56048021601237</v>
      </c>
      <c r="G41" cm="1">
        <f t="array" ref="G41">BSoptionValue(E$4,StrikePrice,rate,sigma,$C41,Style)</f>
        <v>6.411454080854843E-12</v>
      </c>
      <c r="K41">
        <f t="shared" si="2"/>
        <v>0</v>
      </c>
      <c r="L41">
        <f t="shared" si="1"/>
        <v>10</v>
      </c>
    </row>
    <row r="42" spans="2:15" x14ac:dyDescent="0.4">
      <c r="C42">
        <f t="shared" si="3"/>
        <v>8.3333333333333245E-2</v>
      </c>
      <c r="D42">
        <f t="shared" si="0"/>
        <v>0.91666666666666674</v>
      </c>
      <c r="E42" cm="1">
        <f t="array" ref="E42">BSoptionValue(C$4,StrikePrice,rate,sigma,$C42,Style)</f>
        <v>5058.2847492171422</v>
      </c>
      <c r="F42" cm="1">
        <f t="array" ref="F42">BSoptionValue(D$4,StrikePrice,rate,sigma,$C42,Style)</f>
        <v>231.8520164870024</v>
      </c>
      <c r="G42" cm="1">
        <f t="array" ref="G42">BSoptionValue(E$4,StrikePrice,rate,sigma,$C42,Style)</f>
        <v>9.471722261423816E-25</v>
      </c>
    </row>
    <row r="43" spans="2:15" x14ac:dyDescent="0.4">
      <c r="C43">
        <f>+C42-1/12</f>
        <v>0</v>
      </c>
      <c r="D43">
        <f t="shared" si="0"/>
        <v>1</v>
      </c>
    </row>
    <row r="45" spans="2:15" x14ac:dyDescent="0.4">
      <c r="B45" t="s">
        <v>17</v>
      </c>
      <c r="C45" t="s">
        <v>18</v>
      </c>
      <c r="D45" t="s">
        <v>24</v>
      </c>
      <c r="E45" t="s">
        <v>26</v>
      </c>
      <c r="F45" t="s">
        <v>25</v>
      </c>
      <c r="I45" t="s">
        <v>19</v>
      </c>
      <c r="J45" t="s">
        <v>20</v>
      </c>
      <c r="K45" t="s">
        <v>27</v>
      </c>
    </row>
    <row r="46" spans="2:15" x14ac:dyDescent="0.4">
      <c r="C46">
        <v>30000</v>
      </c>
      <c r="D46" cm="1">
        <f t="array" ref="D46">BSoptionValue(C$4,$C46,rate,sigma,TimeofExpiration,Style)</f>
        <v>10594.03980089787</v>
      </c>
      <c r="E46" cm="1">
        <f t="array" ref="E46">BSoptionValue(D$4,$C46,rate,sigma,TimeofExpiration,Style)</f>
        <v>5594.1401245477282</v>
      </c>
      <c r="F46" cm="1">
        <f t="array" ref="F46">BSoptionValue(E$4,$C46,rate,sigma,TimeofExpiration,Style)</f>
        <v>936.2074381887287</v>
      </c>
      <c r="J46">
        <v>30000</v>
      </c>
      <c r="K46" cm="1">
        <f t="array" ref="K46">BSoptionValue(J46,StrikePrice,rate,sigma,TimeofExpiration,Style)</f>
        <v>1.7969167745359584</v>
      </c>
    </row>
    <row r="47" spans="2:15" x14ac:dyDescent="0.4">
      <c r="C47">
        <v>31000</v>
      </c>
      <c r="D47" cm="1">
        <f t="array" ref="D47">BSoptionValue(C$4,$C47,rate,sigma,TimeofExpiration,Style)</f>
        <v>9613.8411332346695</v>
      </c>
      <c r="E47" cm="1">
        <f t="array" ref="E47">BSoptionValue(D$4,$C47,rate,sigma,TimeofExpiration,Style)</f>
        <v>4614.9731022271662</v>
      </c>
      <c r="F47" cm="1">
        <f t="array" ref="F47">BSoptionValue(E$4,$C47,rate,sigma,TimeofExpiration,Style)</f>
        <v>428.71308003307968</v>
      </c>
      <c r="J47">
        <v>31000</v>
      </c>
      <c r="K47" cm="1">
        <f t="array" ref="K47">BSoptionValue(J47,StrikePrice,rate,sigma,TimeofExpiration,Style)</f>
        <v>12.863969008238428</v>
      </c>
    </row>
    <row r="48" spans="2:15" x14ac:dyDescent="0.4">
      <c r="C48">
        <v>32000</v>
      </c>
      <c r="D48" cm="1">
        <f t="array" ref="D48">BSoptionValue(C$4,$C48,rate,sigma,TimeofExpiration,Style)</f>
        <v>8633.6426499025984</v>
      </c>
      <c r="E48" cm="1">
        <f t="array" ref="E48">BSoptionValue(D$4,$C48,rate,sigma,TimeofExpiration,Style)</f>
        <v>3641.9169765152292</v>
      </c>
      <c r="F48" cm="1">
        <f t="array" ref="F48">BSoptionValue(E$4,$C48,rate,sigma,TimeofExpiration,Style)</f>
        <v>156.63222615981977</v>
      </c>
      <c r="J48">
        <v>32000</v>
      </c>
      <c r="K48" cm="1">
        <f t="array" ref="K48">BSoptionValue(J48,StrikePrice,rate,sigma,TimeofExpiration,Style)</f>
        <v>61.778632250228839</v>
      </c>
    </row>
    <row r="49" spans="3:11" x14ac:dyDescent="0.4">
      <c r="C49">
        <v>33000</v>
      </c>
      <c r="D49" cm="1">
        <f t="array" ref="D49">BSoptionValue(C$4,$C49,rate,sigma,TimeofExpiration,Style)</f>
        <v>7653.4479521356843</v>
      </c>
      <c r="E49" cm="1">
        <f t="array" ref="E49">BSoptionValue(D$4,$C49,rate,sigma,TimeofExpiration,Style)</f>
        <v>2694.7243179890902</v>
      </c>
      <c r="F49" cm="1">
        <f t="array" ref="F49">BSoptionValue(E$4,$C49,rate,sigma,TimeofExpiration,Style)</f>
        <v>44.995241482875599</v>
      </c>
      <c r="J49">
        <v>33000</v>
      </c>
      <c r="K49" cm="1">
        <f t="array" ref="K49">BSoptionValue(J49,StrikePrice,rate,sigma,TimeofExpiration,Style)</f>
        <v>210.59012015102508</v>
      </c>
    </row>
    <row r="50" spans="3:11" x14ac:dyDescent="0.4">
      <c r="C50">
        <v>34000</v>
      </c>
      <c r="D50" cm="1">
        <f t="array" ref="D50">BSoptionValue(C$4,$C50,rate,sigma,TimeofExpiration,Style)</f>
        <v>6673.3031930821089</v>
      </c>
      <c r="E50" cm="1">
        <f t="array" ref="E50">BSoptionValue(D$4,$C50,rate,sigma,TimeofExpiration,Style)</f>
        <v>1821.0615848704147</v>
      </c>
      <c r="F50" cm="1">
        <f t="array" ref="F50">BSoptionValue(E$4,$C50,rate,sigma,TimeofExpiration,Style)</f>
        <v>10.131982927300101</v>
      </c>
      <c r="J50">
        <v>34000</v>
      </c>
      <c r="K50" cm="1">
        <f t="array" ref="K50">BSoptionValue(J50,StrikePrice,rate,sigma,TimeofExpiration,Style)</f>
        <v>538.68841441545555</v>
      </c>
    </row>
    <row r="51" spans="3:11" x14ac:dyDescent="0.4">
      <c r="C51">
        <v>35000</v>
      </c>
      <c r="D51" cm="1">
        <f t="array" ref="D51">BSoptionValue(C$4,$C51,rate,sigma,TimeofExpiration,Style)</f>
        <v>5693.5966190913314</v>
      </c>
      <c r="E51" cm="1">
        <f t="array" ref="E51">BSoptionValue(D$4,$C51,rate,sigma,TimeofExpiration,Style)</f>
        <v>1092.2420112201835</v>
      </c>
      <c r="F51" cm="1">
        <f t="array" ref="F51">BSoptionValue(E$4,$C51,rate,sigma,TimeofExpiration,Style)</f>
        <v>1.7969167745359584</v>
      </c>
      <c r="J51">
        <v>35000</v>
      </c>
      <c r="K51" cm="1">
        <f t="array" ref="K51">BSoptionValue(J51,StrikePrice,rate,sigma,TimeofExpiration,Style)</f>
        <v>1092.2420112201835</v>
      </c>
    </row>
    <row r="52" spans="3:11" x14ac:dyDescent="0.4">
      <c r="C52">
        <v>36000</v>
      </c>
      <c r="D52" cm="1">
        <f t="array" ref="D52">BSoptionValue(C$4,$C52,rate,sigma,TimeofExpiration,Style)</f>
        <v>4716.5282939113313</v>
      </c>
      <c r="E52" cm="1">
        <f t="array" ref="E52">BSoptionValue(D$4,$C52,rate,sigma,TimeofExpiration,Style)</f>
        <v>566.70040393741328</v>
      </c>
      <c r="F52" cm="1">
        <f t="array" ref="F52">BSoptionValue(E$4,$C52,rate,sigma,TimeofExpiration,Style)</f>
        <v>0.25337067037901306</v>
      </c>
      <c r="J52">
        <v>36000</v>
      </c>
      <c r="K52" cm="1">
        <f t="array" ref="K52">BSoptionValue(J52,StrikePrice,rate,sigma,TimeofExpiration,Style)</f>
        <v>1849.9012086552211</v>
      </c>
    </row>
    <row r="53" spans="3:11" x14ac:dyDescent="0.4">
      <c r="C53">
        <v>37000</v>
      </c>
      <c r="D53" cm="1">
        <f t="array" ref="D53">BSoptionValue(C$4,$C53,rate,sigma,TimeofExpiration,Style)</f>
        <v>3750.668514853598</v>
      </c>
      <c r="E53" cm="1">
        <f t="array" ref="E53">BSoptionValue(D$4,$C53,rate,sigma,TimeofExpiration,Style)</f>
        <v>249.60481870270451</v>
      </c>
      <c r="F53" cm="1">
        <f t="array" ref="F53">BSoptionValue(E$4,$C53,rate,sigma,TimeofExpiration,Style)</f>
        <v>2.8743949873125896E-2</v>
      </c>
      <c r="J53">
        <v>37000</v>
      </c>
      <c r="K53" cm="1">
        <f t="array" ref="K53">BSoptionValue(J53,StrikePrice,rate,sigma,TimeofExpiration,Style)</f>
        <v>2743.9006305571565</v>
      </c>
    </row>
    <row r="54" spans="3:11" x14ac:dyDescent="0.4">
      <c r="C54">
        <v>38000</v>
      </c>
      <c r="D54" cm="1">
        <f t="array" ref="D54">BSoptionValue(C$4,$C54,rate,sigma,TimeofExpiration,Style)</f>
        <v>2819.2678036336583</v>
      </c>
      <c r="E54" cm="1">
        <f t="array" ref="E54">BSoptionValue(D$4,$C54,rate,sigma,TimeofExpiration,Style)</f>
        <v>92.309129487759947</v>
      </c>
      <c r="F54" cm="1">
        <f t="array" ref="F54">BSoptionValue(E$4,$C54,rate,sigma,TimeofExpiration,Style)</f>
        <v>2.6579122484769457E-3</v>
      </c>
      <c r="J54">
        <v>38000</v>
      </c>
      <c r="K54" cm="1">
        <f t="array" ref="K54">BSoptionValue(J54,StrikePrice,rate,sigma,TimeofExpiration,Style)</f>
        <v>3706.6278229875243</v>
      </c>
    </row>
    <row r="55" spans="3:11" x14ac:dyDescent="0.4">
      <c r="C55">
        <v>39000</v>
      </c>
      <c r="D55" cm="1">
        <f t="array" ref="D55">BSoptionValue(C$4,$C55,rate,sigma,TimeofExpiration,Style)</f>
        <v>1966.2996827269017</v>
      </c>
      <c r="E55" cm="1">
        <f t="array" ref="E55">BSoptionValue(D$4,$C55,rate,sigma,TimeofExpiration,Style)</f>
        <v>28.544038254534598</v>
      </c>
      <c r="F55" cm="1">
        <f t="array" ref="F55">BSoptionValue(E$4,$C55,rate,sigma,TimeofExpiration,Style)</f>
        <v>2.0299847416179601E-4</v>
      </c>
      <c r="J55">
        <v>39000</v>
      </c>
      <c r="K55" cm="1">
        <f t="array" ref="K55">BSoptionValue(J55,StrikePrice,rate,sigma,TimeofExpiration,Style)</f>
        <v>4696.0438992838535</v>
      </c>
    </row>
    <row r="56" spans="3:11" x14ac:dyDescent="0.4">
      <c r="C56">
        <v>40000</v>
      </c>
      <c r="D56" cm="1">
        <f t="array" ref="D56">BSoptionValue(C$4,$C56,rate,sigma,TimeofExpiration,Style)</f>
        <v>1248.2765842516346</v>
      </c>
      <c r="E56" cm="1">
        <f t="array" ref="E56">BSoptionValue(D$4,$C56,rate,sigma,TimeofExpiration,Style)</f>
        <v>7.3867388905895268</v>
      </c>
      <c r="F56" cm="1">
        <f t="array" ref="F56">BSoptionValue(E$4,$C56,rate,sigma,TimeofExpiration,Style)</f>
        <v>1.2973469300254798E-5</v>
      </c>
      <c r="J56">
        <v>40000</v>
      </c>
      <c r="K56" cm="1">
        <f t="array" ref="K56">BSoptionValue(J56,StrikePrice,rate,sigma,TimeofExpiration,Style)</f>
        <v>5693.5966190913314</v>
      </c>
    </row>
    <row r="57" spans="3:11" x14ac:dyDescent="0.4">
      <c r="C57">
        <v>41000</v>
      </c>
      <c r="D57" cm="1">
        <f t="array" ref="D57">BSoptionValue(C$4,$C57,rate,sigma,TimeofExpiration,Style)</f>
        <v>709.12349305404132</v>
      </c>
      <c r="E57" cm="1">
        <f t="array" ref="E57">BSoptionValue(D$4,$C57,rate,sigma,TimeofExpiration,Style)</f>
        <v>1.6066524282412757</v>
      </c>
      <c r="F57" cm="1">
        <f t="array" ref="F57">BSoptionValue(E$4,$C57,rate,sigma,TimeofExpiration,Style)</f>
        <v>7.0253029414298301E-7</v>
      </c>
      <c r="J57">
        <v>41000</v>
      </c>
      <c r="K57" cm="1">
        <f t="array" ref="K57">BSoptionValue(J57,StrikePrice,rate,sigma,TimeofExpiration,Style)</f>
        <v>6693.131105983739</v>
      </c>
    </row>
    <row r="58" spans="3:11" x14ac:dyDescent="0.4">
      <c r="C58">
        <v>42000</v>
      </c>
      <c r="D58" cm="1">
        <f t="array" ref="D58">BSoptionValue(C$4,$C58,rate,sigma,TimeofExpiration,Style)</f>
        <v>355.84092170134863</v>
      </c>
      <c r="E58" cm="1">
        <f t="array" ref="E58">BSoptionValue(D$4,$C58,rate,sigma,TimeofExpiration,Style)</f>
        <v>0.29559911544217954</v>
      </c>
      <c r="F58" cm="1">
        <f t="array" ref="F58">BSoptionValue(E$4,$C58,rate,sigma,TimeofExpiration,Style)</f>
        <v>3.2619224619286726E-8</v>
      </c>
      <c r="J58">
        <v>42000</v>
      </c>
      <c r="K58" cm="1">
        <f t="array" ref="K58">BSoptionValue(J58,StrikePrice,rate,sigma,TimeofExpiration,Style)</f>
        <v>7693.0574590553733</v>
      </c>
    </row>
    <row r="59" spans="3:11" x14ac:dyDescent="0.4">
      <c r="C59">
        <v>43000</v>
      </c>
      <c r="D59" cm="1">
        <f t="array" ref="D59">BSoptionValue(C$4,$C59,rate,sigma,TimeofExpiration,Style)</f>
        <v>156.42510916581341</v>
      </c>
      <c r="E59" cm="1">
        <f t="array" ref="E59">BSoptionValue(D$4,$C59,rate,sigma,TimeofExpiration,Style)</f>
        <v>4.6354702251940161E-2</v>
      </c>
      <c r="F59" cm="1">
        <f t="array" ref="F59">BSoptionValue(E$4,$C59,rate,sigma,TimeofExpiration,Style)</f>
        <v>1.3131932594963439E-9</v>
      </c>
      <c r="J59">
        <v>43000</v>
      </c>
      <c r="K59" cm="1">
        <f t="array" ref="K59">BSoptionValue(J59,StrikePrice,rate,sigma,TimeofExpiration,Style)</f>
        <v>8693.047660237884</v>
      </c>
    </row>
    <row r="60" spans="3:11" x14ac:dyDescent="0.4">
      <c r="C60">
        <v>44000</v>
      </c>
      <c r="D60" cm="1">
        <f t="array" ref="D60">BSoptionValue(C$4,$C60,rate,sigma,TimeofExpiration,Style)</f>
        <v>59.993655310500344</v>
      </c>
      <c r="E60" cm="1">
        <f t="array" ref="E60">BSoptionValue(D$4,$C60,rate,sigma,TimeofExpiration,Style)</f>
        <v>6.2465820514137071E-3</v>
      </c>
      <c r="F60" cm="1">
        <f t="array" ref="F60">BSoptionValue(E$4,$C60,rate,sigma,TimeofExpiration,Style)</f>
        <v>4.6319414080662245E-11</v>
      </c>
      <c r="J60">
        <v>44000</v>
      </c>
      <c r="K60" cm="1">
        <f t="array" ref="K60">BSoptionValue(J60,StrikePrice,rate,sigma,TimeofExpiration,Style)</f>
        <v>9693.0465517922057</v>
      </c>
    </row>
    <row r="61" spans="3:11" x14ac:dyDescent="0.4">
      <c r="C61">
        <v>45000</v>
      </c>
      <c r="D61" cm="1">
        <f t="array" ref="D61">BSoptionValue(C$4,$C61,rate,sigma,TimeofExpiration,Style)</f>
        <v>20.060732755087884</v>
      </c>
      <c r="E61" cm="1">
        <f t="array" ref="E61">BSoptionValue(D$4,$C61,rate,sigma,TimeofExpiration,Style)</f>
        <v>7.2941743350588006E-4</v>
      </c>
      <c r="F61" cm="1">
        <f t="array" ref="F61">BSoptionValue(E$4,$C61,rate,sigma,TimeofExpiration,Style)</f>
        <v>1.4454447383671727E-12</v>
      </c>
      <c r="J61">
        <v>45000</v>
      </c>
      <c r="K61" cm="1">
        <f t="array" ref="K61">BSoptionValue(J61,StrikePrice,rate,sigma,TimeofExpiration,Style)</f>
        <v>10693.046444065956</v>
      </c>
    </row>
  </sheetData>
  <dataConsolidate/>
  <phoneticPr fontId="1"/>
  <dataValidations disablePrompts="1" count="1">
    <dataValidation type="list" allowBlank="1" showInputMessage="1" showErrorMessage="1" sqref="C3:E3" xr:uid="{4C7F9598-EFD3-4DE0-BB82-56440D088765}">
      <formula1>"Call, Put"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03FCC-3D22-4C59-B50F-C62B248B351F}">
  <sheetPr codeName="Sheet2"/>
  <dimension ref="B2:I22"/>
  <sheetViews>
    <sheetView zoomScale="85" zoomScaleNormal="85" workbookViewId="0">
      <selection activeCell="C13" sqref="C13"/>
    </sheetView>
  </sheetViews>
  <sheetFormatPr defaultRowHeight="18.75" x14ac:dyDescent="0.4"/>
  <cols>
    <col min="3" max="3" width="9.375" bestFit="1" customWidth="1"/>
    <col min="4" max="4" width="12.75" bestFit="1" customWidth="1"/>
    <col min="5" max="5" width="17.5" bestFit="1" customWidth="1"/>
    <col min="6" max="6" width="19.625" bestFit="1" customWidth="1"/>
    <col min="7" max="7" width="12.375" bestFit="1" customWidth="1"/>
    <col min="8" max="8" width="10.5" bestFit="1" customWidth="1"/>
  </cols>
  <sheetData>
    <row r="2" spans="2:9" x14ac:dyDescent="0.4">
      <c r="B2" s="1" t="s">
        <v>6</v>
      </c>
      <c r="E2" s="1" t="s">
        <v>10</v>
      </c>
      <c r="H2" s="1" t="s">
        <v>9</v>
      </c>
      <c r="I2" s="1"/>
    </row>
    <row r="3" spans="2:9" x14ac:dyDescent="0.4">
      <c r="B3" t="s">
        <v>7</v>
      </c>
      <c r="C3" t="s">
        <v>21</v>
      </c>
      <c r="E3" t="s">
        <v>11</v>
      </c>
      <c r="F3">
        <v>3000</v>
      </c>
      <c r="H3" t="s">
        <v>5</v>
      </c>
      <c r="I3">
        <v>9.9999999999999995E-8</v>
      </c>
    </row>
    <row r="4" spans="2:9" x14ac:dyDescent="0.4">
      <c r="B4" t="s">
        <v>0</v>
      </c>
      <c r="C4">
        <v>40000</v>
      </c>
      <c r="E4" t="s">
        <v>12</v>
      </c>
      <c r="F4">
        <v>1000</v>
      </c>
    </row>
    <row r="5" spans="2:9" x14ac:dyDescent="0.4">
      <c r="B5" t="s">
        <v>1</v>
      </c>
      <c r="C5">
        <v>36000</v>
      </c>
    </row>
    <row r="6" spans="2:9" x14ac:dyDescent="0.4">
      <c r="B6" t="s">
        <v>2</v>
      </c>
      <c r="C6">
        <v>0.02</v>
      </c>
    </row>
    <row r="7" spans="2:9" x14ac:dyDescent="0.4">
      <c r="B7" t="s">
        <v>3</v>
      </c>
      <c r="C7">
        <v>0.05</v>
      </c>
    </row>
    <row r="8" spans="2:9" x14ac:dyDescent="0.4">
      <c r="B8" t="s">
        <v>4</v>
      </c>
      <c r="C8">
        <v>1</v>
      </c>
    </row>
    <row r="10" spans="2:9" x14ac:dyDescent="0.4">
      <c r="C10" cm="1">
        <f t="array" ref="C10">BSoptionValue(StockPrice,StrikePrice,rate,sigma,TimeofExpiration,Style)</f>
        <v>3.6805329545133429</v>
      </c>
      <c r="D10" cm="1">
        <f t="array" ref="D10">BSImpliedVolatility(MarketPutOption,StockPrice,StrikePrice,rate,sigma,TimeofExpiration,diff,Style)</f>
        <v>0.18256649116878523</v>
      </c>
    </row>
    <row r="12" spans="2:9" x14ac:dyDescent="0.4">
      <c r="B12" t="s">
        <v>17</v>
      </c>
      <c r="C12" t="s">
        <v>22</v>
      </c>
    </row>
    <row r="13" spans="2:9" x14ac:dyDescent="0.4">
      <c r="B13">
        <v>36000</v>
      </c>
      <c r="C13" cm="1">
        <f t="array" ref="C13">BSImpliedVolatility(MarketPutOption,StockPrice,B13,rate,sigma,TimeofExpiration,diff,"Put")</f>
        <v>0.18256649116878523</v>
      </c>
      <c r="D13" s="4"/>
      <c r="E13" s="2"/>
      <c r="F13" s="3"/>
    </row>
    <row r="14" spans="2:9" x14ac:dyDescent="0.4">
      <c r="B14">
        <v>37000</v>
      </c>
      <c r="C14" cm="1">
        <f t="array" ref="C14">BSImpliedVolatility(MarketPutOption,StockPrice,B14,rate,sigma,TimeofExpiration,diff,"Put")</f>
        <v>0.15953615528111881</v>
      </c>
    </row>
    <row r="15" spans="2:9" x14ac:dyDescent="0.4">
      <c r="B15">
        <v>38000</v>
      </c>
      <c r="C15" cm="1">
        <f t="array" ref="C15">BSImpliedVolatility(MarketPutOption,StockPrice,B15,rate,sigma,TimeofExpiration,diff,"Put")</f>
        <v>0.13611519821471885</v>
      </c>
    </row>
    <row r="16" spans="2:9" x14ac:dyDescent="0.4">
      <c r="B16">
        <v>39000</v>
      </c>
      <c r="C16" cm="1">
        <f t="array" ref="C16">BSImpliedVolatility(MarketPutOption,StockPrice,B16,rate,sigma,TimeofExpiration,diff,"Put")</f>
        <v>0.11189397119432924</v>
      </c>
    </row>
    <row r="17" spans="2:3" x14ac:dyDescent="0.4">
      <c r="B17">
        <v>40000</v>
      </c>
      <c r="C17" cm="1">
        <f t="array" ref="C17">BSImpliedVolatility(MarketCallOptioin,StockPrice,B17,rate,sigma,TimeofExpiration,diff,"Call")</f>
        <v>0.1637789352224821</v>
      </c>
    </row>
    <row r="18" spans="2:3" x14ac:dyDescent="0.4">
      <c r="B18">
        <v>41000</v>
      </c>
      <c r="C18" cm="1">
        <f t="array" ref="C18">BSImpliedVolatility(MarketCallOptioin,StockPrice,B18,rate,sigma,TimeofExpiration,diff,"Call")</f>
        <v>0.19368306163140778</v>
      </c>
    </row>
    <row r="19" spans="2:3" x14ac:dyDescent="0.4">
      <c r="B19">
        <v>42000</v>
      </c>
      <c r="C19" cm="1">
        <f t="array" ref="C19">BSImpliedVolatility(MarketCallOptioin,StockPrice,B19,rate,sigma,TimeofExpiration,diff,"Call")</f>
        <v>0.21994413568435398</v>
      </c>
    </row>
    <row r="20" spans="2:3" x14ac:dyDescent="0.4">
      <c r="B20">
        <v>43000</v>
      </c>
      <c r="C20" cm="1">
        <f t="array" ref="C20">BSImpliedVolatility(MarketCallOptioin,StockPrice,B20,rate,sigma,TimeofExpiration,diff,"Call")</f>
        <v>0.24368881901456924</v>
      </c>
    </row>
    <row r="21" spans="2:3" x14ac:dyDescent="0.4">
      <c r="B21">
        <v>44000</v>
      </c>
      <c r="C21" cm="1">
        <f t="array" ref="C21">BSImpliedVolatility(MarketCallOptioin,StockPrice,B21,rate,sigma,TimeofExpiration,diff,"Call")</f>
        <v>0.26553277821066484</v>
      </c>
    </row>
    <row r="22" spans="2:3" x14ac:dyDescent="0.4">
      <c r="B22">
        <v>45000</v>
      </c>
      <c r="C22" cm="1">
        <f t="array" ref="C22">BSImpliedVolatility(MarketCallOptioin,StockPrice,B22,rate,sigma,TimeofExpiration,diff,"Call")</f>
        <v>0.28586029270593372</v>
      </c>
    </row>
  </sheetData>
  <dataConsolidate/>
  <phoneticPr fontId="1"/>
  <dataValidations disablePrompts="1" count="1">
    <dataValidation type="list" allowBlank="1" showInputMessage="1" showErrorMessage="1" sqref="C3" xr:uid="{BF255A3B-01C6-4F74-A16C-B659D097AC9A}">
      <formula1>"Call, Put"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5C4FC-55BE-4849-9830-E5CF20D8B677}">
  <sheetPr codeName="Sheet10"/>
  <dimension ref="B1:BI112"/>
  <sheetViews>
    <sheetView topLeftCell="A16" zoomScale="70" zoomScaleNormal="70" workbookViewId="0">
      <selection activeCell="I12" sqref="I12:I112"/>
    </sheetView>
  </sheetViews>
  <sheetFormatPr defaultRowHeight="18.75" x14ac:dyDescent="0.4"/>
  <cols>
    <col min="9" max="9" width="9.875" bestFit="1" customWidth="1"/>
    <col min="10" max="11" width="9.375" customWidth="1"/>
    <col min="19" max="21" width="10.75" customWidth="1"/>
  </cols>
  <sheetData>
    <row r="1" spans="2:61" x14ac:dyDescent="0.4">
      <c r="BI1" t="s">
        <v>55</v>
      </c>
    </row>
    <row r="2" spans="2:61" x14ac:dyDescent="0.4">
      <c r="M2" s="19" t="s">
        <v>42</v>
      </c>
      <c r="N2" s="19"/>
      <c r="O2" s="19"/>
      <c r="P2" s="19"/>
      <c r="Q2" s="19"/>
    </row>
    <row r="11" spans="2:61" x14ac:dyDescent="0.4">
      <c r="B11" s="1" t="s">
        <v>6</v>
      </c>
      <c r="F11" s="5" t="s">
        <v>23</v>
      </c>
      <c r="G11" s="5" t="s">
        <v>43</v>
      </c>
      <c r="H11" s="5" t="s">
        <v>44</v>
      </c>
      <c r="I11" s="5" t="s">
        <v>45</v>
      </c>
      <c r="J11" s="5" t="s">
        <v>46</v>
      </c>
      <c r="K11" s="5" t="s">
        <v>47</v>
      </c>
      <c r="L11" s="5" t="s">
        <v>48</v>
      </c>
      <c r="M11" s="7" t="s">
        <v>49</v>
      </c>
      <c r="N11" s="7" t="s">
        <v>50</v>
      </c>
      <c r="O11" s="7" t="s">
        <v>51</v>
      </c>
      <c r="P11" s="7" t="s">
        <v>52</v>
      </c>
      <c r="Q11" s="7" t="s">
        <v>53</v>
      </c>
      <c r="R11" s="7" t="s">
        <v>54</v>
      </c>
      <c r="S11" s="9" t="s">
        <v>28</v>
      </c>
      <c r="T11" s="9" t="s">
        <v>29</v>
      </c>
      <c r="U11" s="9" t="s">
        <v>30</v>
      </c>
      <c r="V11" s="11" t="s">
        <v>31</v>
      </c>
      <c r="W11" s="11" t="s">
        <v>32</v>
      </c>
      <c r="X11" s="11" t="s">
        <v>33</v>
      </c>
      <c r="Y11" s="13" t="s">
        <v>34</v>
      </c>
      <c r="Z11" s="13" t="s">
        <v>36</v>
      </c>
      <c r="AA11" s="13" t="s">
        <v>35</v>
      </c>
      <c r="AB11" s="15" t="s">
        <v>37</v>
      </c>
      <c r="AC11" s="15" t="s">
        <v>39</v>
      </c>
      <c r="AD11" s="15" t="s">
        <v>38</v>
      </c>
      <c r="AE11" s="17" t="s">
        <v>40</v>
      </c>
      <c r="AF11" s="17" t="s">
        <v>56</v>
      </c>
      <c r="AG11" s="17" t="s">
        <v>57</v>
      </c>
      <c r="AH11" s="17" t="s">
        <v>58</v>
      </c>
      <c r="AI11" s="17" t="s">
        <v>59</v>
      </c>
      <c r="AJ11" s="17" t="s">
        <v>60</v>
      </c>
    </row>
    <row r="12" spans="2:61" x14ac:dyDescent="0.4">
      <c r="B12" t="s">
        <v>7</v>
      </c>
      <c r="C12" t="s">
        <v>8</v>
      </c>
      <c r="F12">
        <v>35000</v>
      </c>
      <c r="G12" s="6">
        <f t="shared" ref="G12:I31" si="0">(LN($C$13/$F12)+(sigma2^2/2))*(rate2+TimeofExpiration2)/(sigma2*SQRT(TimeofExpiration2))</f>
        <v>4.6695996982458423</v>
      </c>
      <c r="H12" s="6">
        <f>(LN($D$13/$F12)+(sigma2^2/2))*(rate2+TimeofExpiration2)/(sigma2*SQRT(TimeofExpiration2))</f>
        <v>3.4254505119253258</v>
      </c>
      <c r="I12" s="6">
        <f>(LN($E$13/$F12)+(sigma2^2/2))*(rate2+TimeofExpiration2)/(sigma2*SQRT(TimeofExpiration2))</f>
        <v>2.1174715050427859</v>
      </c>
      <c r="J12">
        <f t="shared" ref="J12:J43" si="1">$G12-sigma2*SQRT(TimeofExpiration2)</f>
        <v>4.6295996982458423</v>
      </c>
      <c r="K12">
        <f t="shared" ref="K12:K43" si="2">$H12-sigma2*SQRT(TimeofExpiration2)</f>
        <v>3.3854505119253258</v>
      </c>
      <c r="L12">
        <f t="shared" ref="L12:L43" si="3">$I12-sigma2*SQRT(TimeofExpiration2)</f>
        <v>2.0774715050427859</v>
      </c>
      <c r="M12" s="8">
        <f>_xlfn.NORM.S.DIST(G12,TRUE)</f>
        <v>0.99999849106393601</v>
      </c>
      <c r="N12" s="8">
        <f>_xlfn.NORM.S.DIST(H12,TRUE)</f>
        <v>0.99969310963050373</v>
      </c>
      <c r="O12" s="8">
        <f t="shared" ref="N12:O27" si="4">_xlfn.NORM.S.DIST(I12,TRUE)</f>
        <v>0.98289007441152565</v>
      </c>
      <c r="P12" s="8">
        <f>M12-1</f>
        <v>-1.5089360639874982E-6</v>
      </c>
      <c r="Q12" s="8">
        <f t="shared" ref="Q12:R27" si="5">N12-1</f>
        <v>-3.0689036949627102E-4</v>
      </c>
      <c r="R12" s="8">
        <f t="shared" si="5"/>
        <v>-1.7109925588474351E-2</v>
      </c>
      <c r="S12" s="10">
        <f t="shared" ref="S12:S43" si="6">(1/(Stock*sigma2*SQRT(TimeofExpiration2)))*_xlfn.NORM.S.DIST($G12,FALSE)</f>
        <v>4.371899401880311E-9</v>
      </c>
      <c r="T12" s="10">
        <f t="shared" ref="T12:T43" si="7">(1/($D$13*sigma2*SQRT(TimeofExpiration2)))*_xlfn.NORM.S.DIST($H12,FALSE)</f>
        <v>7.0606887591577366E-7</v>
      </c>
      <c r="U12" s="10">
        <f>(1/($E$13*sigma2*SQRT(TimeofExpiration2)))*_xlfn.NORM.S.DIST($I12,FALSE)</f>
        <v>2.7889872318360669E-5</v>
      </c>
      <c r="V12" s="12">
        <f t="shared" ref="V12:V43" si="8">Stock*SQRT(TimeofExpiration2)*_xlfn.NORM.S.DIST(G12,FALSE)</f>
        <v>0.3084812217966747</v>
      </c>
      <c r="W12" s="12">
        <f t="shared" ref="W12:W43" si="9">$D$13*SQRT(TimeofExpiration2)*_xlfn.NORM.S.DIST($H12,FALSE)</f>
        <v>45.188408058609511</v>
      </c>
      <c r="X12" s="12">
        <f>$E$13*SQRT(TimeofExpiration2)*_xlfn.NORM.S.DIST($I12,FALSE)</f>
        <v>1610.9190251085124</v>
      </c>
      <c r="Y12" s="14">
        <f t="shared" ref="Y12:Y43" si="10">(Stock*sigma2*_xlfn.NORM.S.DIST($G12,FALSE)/2*SQRT(TimeofExpiration2))-rate2*$F12*EXP(-rate2*TimeofExpiration2)*_xlfn.NORM.S.DIST($J12,TRUE)</f>
        <v>-686.13164477512123</v>
      </c>
      <c r="Z12" s="14">
        <f t="shared" ref="Z12:Z43" si="11">($D$13*sigma2*_xlfn.NORM.S.DIST($H12,FALSE)/2*SQRT(TimeofExpiration2))-rate2*$F12*EXP(-rate2*TimeofExpiration2)*_xlfn.NORM.S.DIST($K12,TRUE)</f>
        <v>-684.99151272132281</v>
      </c>
      <c r="AA12" s="14">
        <f t="shared" ref="AA12:AA43" si="12">($E$13*sigma2*_xlfn.NORM.S.DIST($I12,FALSE)/2*SQRT(TimeofExpiration2))-rate2*$F12*EXP(-rate2*TimeofExpiration2)*_xlfn.NORM.S.DIST($L12,TRUE)</f>
        <v>-640.96704982457538</v>
      </c>
      <c r="AB12" s="16">
        <f t="shared" ref="AB12:AB43" si="13">-(Stock*sigma2*_xlfn.NORM.S.DIST($G12,FALSE)/2*SQRT(TimeofExpiration2))+rate2*$F12*EXP(-rate2*TimeofExpiration2)*_xlfn.NORM.S.DIST(-$J12,TRUE)</f>
        <v>-4.9127092645373065E-3</v>
      </c>
      <c r="AC12" s="16">
        <f t="shared" ref="AC12:AC43" si="14">-($D$13*sigma2*_xlfn.NORM.S.DIST($H12,FALSE)/2*SQRT(TimeofExpiration2))+rate2*$F12*EXP(-rate2*TimeofExpiration2)*_xlfn.NORM.S.DIST(-$K12,TRUE)</f>
        <v>-0.65997772893848772</v>
      </c>
      <c r="AD12" s="16">
        <f t="shared" ref="AD12:AD43" si="15">-($E$13*sigma2*_xlfn.NORM.S.DIST($I12,FALSE)/2*SQRT(TimeofExpiration2))+rate2*$F12*EXP(-rate2*TimeofExpiration2)*_xlfn.NORM.S.DIST(-$L12,TRUE)</f>
        <v>-19.264739514187177</v>
      </c>
      <c r="AE12" s="18">
        <f t="shared" ref="AE12:AE43" si="16">$F12*TimeofExpiration2*EXP(-rate2*TimeofExpiration2)*_xlfn.NORM.S.DIST($J12,TRUE)</f>
        <v>34306.890719977862</v>
      </c>
      <c r="AF12" s="18">
        <f t="shared" ref="AF12:AF43" si="17">$F12*TimeofExpiration2*EXP(-rate2*TimeofExpiration2)*_xlfn.NORM.S.DIST($K12,TRUE)</f>
        <v>34294.764044124742</v>
      </c>
      <c r="AG12" s="18">
        <f t="shared" ref="AG12:AG43" si="18">$F12*TimeofExpiration2*EXP(-rate2*TimeofExpiration2)*_xlfn.NORM.S.DIST($L12,TRUE)</f>
        <v>33659.271516337278</v>
      </c>
      <c r="AH12" s="18">
        <f t="shared" ref="AH12:AH43" si="19">-$F12*TimeofExpiration2*EXP(-rate2*TimeofExpiration2)*_xlfn.NORM.S.DIST(-$J12,TRUE)</f>
        <v>-6.2845758569809382E-2</v>
      </c>
      <c r="AI12" s="18">
        <f t="shared" ref="AI12:AI43" si="20">-$F12*TimeofExpiration2*EXP(-rate2*TimeofExpiration2)*_xlfn.NORM.S.DIST(-$K12,TRUE)</f>
        <v>-12.189521611685128</v>
      </c>
      <c r="AJ12" s="18">
        <f t="shared" ref="AJ12:AJ43" si="21">-$F12*TimeofExpiration2*EXP(-rate2*TimeofExpiration2)*_xlfn.NORM.S.DIST(-$L12,TRUE)</f>
        <v>-647.68204939915347</v>
      </c>
    </row>
    <row r="13" spans="2:61" x14ac:dyDescent="0.4">
      <c r="B13" t="s">
        <v>0</v>
      </c>
      <c r="C13">
        <v>42000</v>
      </c>
      <c r="D13">
        <v>40000</v>
      </c>
      <c r="E13">
        <v>38000</v>
      </c>
      <c r="F13">
        <v>35100</v>
      </c>
      <c r="G13" s="6">
        <f t="shared" si="0"/>
        <v>4.5968464391944774</v>
      </c>
      <c r="H13" s="6">
        <f>(LN($D$13/$F13)+(sigma2^2/2))*(rate2+TimeofExpiration2)/(sigma2*SQRT(TimeofExpiration2))</f>
        <v>3.3526972528739631</v>
      </c>
      <c r="I13" s="6">
        <f>(LN($E$13/$F13)+(sigma2^2/2))*(rate2+TimeofExpiration2)/(sigma2*SQRT(TimeofExpiration2))</f>
        <v>2.0447182459914255</v>
      </c>
      <c r="J13">
        <f t="shared" si="1"/>
        <v>4.5568464391944774</v>
      </c>
      <c r="K13">
        <f t="shared" si="2"/>
        <v>3.3126972528739631</v>
      </c>
      <c r="L13">
        <f t="shared" si="3"/>
        <v>2.0047182459914255</v>
      </c>
      <c r="M13" s="8">
        <f t="shared" ref="M13:O76" si="22">_xlfn.NORM.S.DIST(G13,TRUE)</f>
        <v>0.99999785533247632</v>
      </c>
      <c r="N13" s="8">
        <f t="shared" si="4"/>
        <v>0.99959985903670256</v>
      </c>
      <c r="O13" s="8">
        <f t="shared" si="4"/>
        <v>0.97955867813744102</v>
      </c>
      <c r="P13" s="8">
        <f t="shared" ref="P13:R76" si="23">M13-1</f>
        <v>-2.1446675236846957E-6</v>
      </c>
      <c r="Q13" s="8">
        <f t="shared" si="5"/>
        <v>-4.0014096329743509E-4</v>
      </c>
      <c r="R13" s="8">
        <f t="shared" si="5"/>
        <v>-2.0441321862558981E-2</v>
      </c>
      <c r="S13" s="10">
        <f t="shared" si="6"/>
        <v>6.124392933231361E-9</v>
      </c>
      <c r="T13" s="10">
        <f t="shared" si="7"/>
        <v>9.0350257567190257E-7</v>
      </c>
      <c r="U13" s="10">
        <f t="shared" ref="U13:U43" si="24">(1/($E$13*sigma2*SQRT(TimeofExpiration2)))*_xlfn.NORM.S.DIST($I13,FALSE)</f>
        <v>3.2449014022510089E-5</v>
      </c>
      <c r="V13" s="12">
        <f t="shared" si="8"/>
        <v>0.43213716536880481</v>
      </c>
      <c r="W13" s="12">
        <f t="shared" si="9"/>
        <v>57.824164843001768</v>
      </c>
      <c r="X13" s="12">
        <f t="shared" ref="X13:X43" si="25">$E$13*SQRT(TimeofExpiration2)*_xlfn.NORM.S.DIST($I13,FALSE)</f>
        <v>1874.255049940183</v>
      </c>
      <c r="Y13" s="14">
        <f t="shared" si="10"/>
        <v>-688.08903935862759</v>
      </c>
      <c r="Z13" s="14">
        <f t="shared" si="11"/>
        <v>-686.62508016809943</v>
      </c>
      <c r="AA13" s="14">
        <f t="shared" si="12"/>
        <v>-635.13447714323468</v>
      </c>
      <c r="AB13" s="16">
        <f t="shared" si="13"/>
        <v>-6.8561839002394473E-3</v>
      </c>
      <c r="AC13" s="16">
        <f t="shared" si="14"/>
        <v>-0.83857810047737924</v>
      </c>
      <c r="AD13" s="16">
        <f t="shared" si="15"/>
        <v>-22.005210479499862</v>
      </c>
      <c r="AE13" s="18">
        <f t="shared" si="16"/>
        <v>34404.884105096753</v>
      </c>
      <c r="AF13" s="18">
        <f t="shared" si="17"/>
        <v>34389.078173247981</v>
      </c>
      <c r="AG13" s="18">
        <f t="shared" si="18"/>
        <v>33630.978907101926</v>
      </c>
      <c r="AH13" s="18">
        <f t="shared" si="19"/>
        <v>-8.9327970356832487E-2</v>
      </c>
      <c r="AI13" s="18">
        <f t="shared" si="20"/>
        <v>-15.895259819132809</v>
      </c>
      <c r="AJ13" s="18">
        <f t="shared" si="21"/>
        <v>-773.99452596519006</v>
      </c>
    </row>
    <row r="14" spans="2:61" x14ac:dyDescent="0.4">
      <c r="B14" t="s">
        <v>1</v>
      </c>
      <c r="C14">
        <v>40000</v>
      </c>
      <c r="F14">
        <v>35200</v>
      </c>
      <c r="G14" s="6">
        <f t="shared" si="0"/>
        <v>4.5243001598225794</v>
      </c>
      <c r="H14" s="6">
        <f>(LN($D$13/$F14)+(sigma2^2/2))*(rate2+TimeofExpiration2)/(sigma2*SQRT(TimeofExpiration2))</f>
        <v>3.2801509735020673</v>
      </c>
      <c r="I14" s="6">
        <f>(LN($E$13/$F14)+(sigma2^2/2))*(rate2+TimeofExpiration2)/(sigma2*SQRT(TimeofExpiration2))</f>
        <v>1.972171966619527</v>
      </c>
      <c r="J14">
        <f t="shared" si="1"/>
        <v>4.4843001598225793</v>
      </c>
      <c r="K14">
        <f t="shared" si="2"/>
        <v>3.2401509735020673</v>
      </c>
      <c r="L14">
        <f t="shared" si="3"/>
        <v>1.9321719666195269</v>
      </c>
      <c r="M14" s="8">
        <f t="shared" si="22"/>
        <v>0.99999697021616252</v>
      </c>
      <c r="N14" s="8">
        <f t="shared" si="4"/>
        <v>0.99948124224793777</v>
      </c>
      <c r="O14" s="8">
        <f t="shared" si="4"/>
        <v>0.97570501064608428</v>
      </c>
      <c r="P14" s="8">
        <f t="shared" si="23"/>
        <v>-3.0297838374826469E-6</v>
      </c>
      <c r="Q14" s="8">
        <f t="shared" si="5"/>
        <v>-5.1875775206222663E-4</v>
      </c>
      <c r="R14" s="8">
        <f t="shared" si="5"/>
        <v>-2.4294989353915719E-2</v>
      </c>
      <c r="S14" s="10">
        <f t="shared" si="6"/>
        <v>8.5261018429629809E-9</v>
      </c>
      <c r="T14" s="10">
        <f t="shared" si="7"/>
        <v>1.149259603568753E-6</v>
      </c>
      <c r="U14" s="10">
        <f t="shared" si="24"/>
        <v>3.7538808003832616E-5</v>
      </c>
      <c r="V14" s="12">
        <f t="shared" si="8"/>
        <v>0.60160174603946781</v>
      </c>
      <c r="W14" s="12">
        <f t="shared" si="9"/>
        <v>73.552614628400192</v>
      </c>
      <c r="X14" s="12">
        <f t="shared" si="25"/>
        <v>2168.2415503013717</v>
      </c>
      <c r="Y14" s="14">
        <f t="shared" si="10"/>
        <v>-690.04530995391701</v>
      </c>
      <c r="Z14" s="14">
        <f t="shared" si="11"/>
        <v>-688.17661877938531</v>
      </c>
      <c r="AA14" s="14">
        <f t="shared" si="12"/>
        <v>-628.29173043419223</v>
      </c>
      <c r="AB14" s="16">
        <f t="shared" si="13"/>
        <v>-9.508015802865994E-3</v>
      </c>
      <c r="AC14" s="16">
        <f t="shared" si="14"/>
        <v>-1.0588573565656838</v>
      </c>
      <c r="AD14" s="16">
        <f t="shared" si="15"/>
        <v>-24.961526438291347</v>
      </c>
      <c r="AE14" s="18">
        <f t="shared" si="16"/>
        <v>34502.867099441886</v>
      </c>
      <c r="AF14" s="18">
        <f t="shared" si="17"/>
        <v>34482.383553597669</v>
      </c>
      <c r="AG14" s="18">
        <f t="shared" si="18"/>
        <v>33582.828072010983</v>
      </c>
      <c r="AH14" s="18">
        <f t="shared" si="19"/>
        <v>-0.12620095589616809</v>
      </c>
      <c r="AI14" s="18">
        <f t="shared" si="20"/>
        <v>-20.609746800116</v>
      </c>
      <c r="AJ14" s="18">
        <f t="shared" si="21"/>
        <v>-920.16522838680442</v>
      </c>
    </row>
    <row r="15" spans="2:61" x14ac:dyDescent="0.4">
      <c r="B15" t="s">
        <v>2</v>
      </c>
      <c r="C15">
        <v>0.02</v>
      </c>
      <c r="F15">
        <v>35300</v>
      </c>
      <c r="G15" s="6">
        <f t="shared" si="0"/>
        <v>4.4519596857749875</v>
      </c>
      <c r="H15" s="6">
        <f>(LN($D$13/$F15)+(sigma2^2/2))*(rate2+TimeofExpiration2)/(sigma2*SQRT(TimeofExpiration2))</f>
        <v>3.2078104994544741</v>
      </c>
      <c r="I15" s="6">
        <f>(LN($E$13/$F15)+(sigma2^2/2))*(rate2+TimeofExpiration2)/(sigma2*SQRT(TimeofExpiration2))</f>
        <v>1.899831492571932</v>
      </c>
      <c r="J15">
        <f t="shared" si="1"/>
        <v>4.4119596857749874</v>
      </c>
      <c r="K15">
        <f t="shared" si="2"/>
        <v>3.167810499454474</v>
      </c>
      <c r="L15">
        <f t="shared" si="3"/>
        <v>1.8598314925719319</v>
      </c>
      <c r="M15" s="8">
        <f t="shared" si="22"/>
        <v>0.99999574549281389</v>
      </c>
      <c r="N15" s="8">
        <f t="shared" si="4"/>
        <v>0.99933125202061246</v>
      </c>
      <c r="O15" s="8">
        <f t="shared" si="4"/>
        <v>0.97127238166168572</v>
      </c>
      <c r="P15" s="8">
        <f t="shared" si="23"/>
        <v>-4.2545071861077588E-6</v>
      </c>
      <c r="Q15" s="8">
        <f t="shared" si="5"/>
        <v>-6.687479793875406E-4</v>
      </c>
      <c r="R15" s="8">
        <f t="shared" si="5"/>
        <v>-2.8727618338314276E-2</v>
      </c>
      <c r="S15" s="10">
        <f t="shared" si="6"/>
        <v>1.1796533409586666E-8</v>
      </c>
      <c r="T15" s="10">
        <f t="shared" si="7"/>
        <v>1.453230510198531E-6</v>
      </c>
      <c r="U15" s="10">
        <f t="shared" si="24"/>
        <v>4.318212173374935E-5</v>
      </c>
      <c r="V15" s="12">
        <f t="shared" si="8"/>
        <v>0.83236339738043497</v>
      </c>
      <c r="W15" s="12">
        <f t="shared" si="9"/>
        <v>93.006752652705984</v>
      </c>
      <c r="X15" s="12">
        <f t="shared" si="25"/>
        <v>2494.1993513413622</v>
      </c>
      <c r="Y15" s="14">
        <f t="shared" si="10"/>
        <v>-692.00007158684934</v>
      </c>
      <c r="Z15" s="14">
        <f t="shared" si="11"/>
        <v>-689.62868580622512</v>
      </c>
      <c r="AA15" s="14">
        <f t="shared" si="12"/>
        <v>-620.36899683985746</v>
      </c>
      <c r="AB15" s="16">
        <f t="shared" si="13"/>
        <v>-1.310276817537185E-2</v>
      </c>
      <c r="AC15" s="16">
        <f t="shared" si="14"/>
        <v>-1.3286925577641902</v>
      </c>
      <c r="AD15" s="16">
        <f t="shared" si="15"/>
        <v>-28.116707538942745</v>
      </c>
      <c r="AE15" s="18">
        <f t="shared" si="16"/>
        <v>34600.835942739846</v>
      </c>
      <c r="AF15" s="18">
        <f t="shared" si="17"/>
        <v>34574.441042963961</v>
      </c>
      <c r="AG15" s="18">
        <f t="shared" si="18"/>
        <v>33512.649193334233</v>
      </c>
      <c r="AH15" s="18">
        <f t="shared" si="19"/>
        <v>-0.17722498861184247</v>
      </c>
      <c r="AI15" s="18">
        <f t="shared" si="20"/>
        <v>-26.572124764496468</v>
      </c>
      <c r="AJ15" s="18">
        <f t="shared" si="21"/>
        <v>-1088.3639743942251</v>
      </c>
    </row>
    <row r="16" spans="2:61" x14ac:dyDescent="0.4">
      <c r="B16" t="s">
        <v>3</v>
      </c>
      <c r="C16">
        <v>0.04</v>
      </c>
      <c r="F16">
        <v>35400</v>
      </c>
      <c r="G16" s="6">
        <f t="shared" si="0"/>
        <v>4.379823852662807</v>
      </c>
      <c r="H16" s="6">
        <f>(LN($D$13/$F16)+(sigma2^2/2))*(rate2+TimeofExpiration2)/(sigma2*SQRT(TimeofExpiration2))</f>
        <v>3.1356746663422923</v>
      </c>
      <c r="I16" s="6">
        <f>(LN($E$13/$F16)+(sigma2^2/2))*(rate2+TimeofExpiration2)/(sigma2*SQRT(TimeofExpiration2))</f>
        <v>1.827695659459756</v>
      </c>
      <c r="J16">
        <f t="shared" si="1"/>
        <v>4.339823852662807</v>
      </c>
      <c r="K16">
        <f t="shared" si="2"/>
        <v>3.0956746663422923</v>
      </c>
      <c r="L16">
        <f t="shared" si="3"/>
        <v>1.7876956594597559</v>
      </c>
      <c r="M16" s="8">
        <f t="shared" si="22"/>
        <v>0.99999406123595869</v>
      </c>
      <c r="N16" s="8">
        <f t="shared" si="4"/>
        <v>0.99914270353670498</v>
      </c>
      <c r="O16" s="8">
        <f t="shared" si="4"/>
        <v>0.96620238003058678</v>
      </c>
      <c r="P16" s="8">
        <f t="shared" si="23"/>
        <v>-5.9387640413133269E-6</v>
      </c>
      <c r="Q16" s="8">
        <f t="shared" si="5"/>
        <v>-8.5729646329502085E-4</v>
      </c>
      <c r="R16" s="8">
        <f t="shared" si="5"/>
        <v>-3.3797619969413217E-2</v>
      </c>
      <c r="S16" s="10">
        <f t="shared" si="6"/>
        <v>1.6221698200920587E-8</v>
      </c>
      <c r="T16" s="10">
        <f t="shared" si="7"/>
        <v>1.8268356368908264E-6</v>
      </c>
      <c r="U16" s="10">
        <f t="shared" si="24"/>
        <v>4.9396061738107695E-5</v>
      </c>
      <c r="V16" s="12">
        <f t="shared" si="8"/>
        <v>1.1446030250569563</v>
      </c>
      <c r="W16" s="12">
        <f t="shared" si="9"/>
        <v>116.91748076101288</v>
      </c>
      <c r="X16" s="12">
        <f t="shared" si="25"/>
        <v>2853.1165259931008</v>
      </c>
      <c r="Y16" s="14">
        <f t="shared" si="10"/>
        <v>-693.95282066359675</v>
      </c>
      <c r="Z16" s="14">
        <f t="shared" si="11"/>
        <v>-690.96094115881704</v>
      </c>
      <c r="AA16" s="14">
        <f t="shared" si="12"/>
        <v>-611.30172656783691</v>
      </c>
      <c r="AB16" s="16">
        <f t="shared" si="13"/>
        <v>-1.7944083416260942E-2</v>
      </c>
      <c r="AC16" s="16">
        <f t="shared" si="14"/>
        <v>-1.6569796880748191</v>
      </c>
      <c r="AD16" s="16">
        <f t="shared" si="15"/>
        <v>-31.445726906378173</v>
      </c>
      <c r="AE16" s="18">
        <f t="shared" si="16"/>
        <v>34698.785636204899</v>
      </c>
      <c r="AF16" s="18">
        <f t="shared" si="17"/>
        <v>34664.964538701868</v>
      </c>
      <c r="AG16" s="18">
        <f t="shared" si="18"/>
        <v>33418.202854384945</v>
      </c>
      <c r="AH16" s="18">
        <f t="shared" si="19"/>
        <v>-0.24739885424390942</v>
      </c>
      <c r="AI16" s="18">
        <f t="shared" si="20"/>
        <v>-34.068496357271947</v>
      </c>
      <c r="AJ16" s="18">
        <f t="shared" si="21"/>
        <v>-1280.8301806741922</v>
      </c>
    </row>
    <row r="17" spans="2:36" x14ac:dyDescent="0.4">
      <c r="B17" t="s">
        <v>4</v>
      </c>
      <c r="C17">
        <v>1</v>
      </c>
      <c r="F17">
        <v>35500</v>
      </c>
      <c r="G17" s="6">
        <f t="shared" si="0"/>
        <v>4.3078915059509537</v>
      </c>
      <c r="H17" s="6">
        <f>(LN($D$13/$F17)+(sigma2^2/2))*(rate2+TimeofExpiration2)/(sigma2*SQRT(TimeofExpiration2))</f>
        <v>3.063742319630439</v>
      </c>
      <c r="I17" s="6">
        <f>(LN($E$13/$F17)+(sigma2^2/2))*(rate2+TimeofExpiration2)/(sigma2*SQRT(TimeofExpiration2))</f>
        <v>1.7557633127478971</v>
      </c>
      <c r="J17">
        <f t="shared" si="1"/>
        <v>4.2678915059509537</v>
      </c>
      <c r="K17">
        <f t="shared" si="2"/>
        <v>3.0237423196304389</v>
      </c>
      <c r="L17">
        <f t="shared" si="3"/>
        <v>1.7157633127478971</v>
      </c>
      <c r="M17" s="8">
        <f t="shared" si="22"/>
        <v>0.99999175909045823</v>
      </c>
      <c r="N17" s="8">
        <f t="shared" si="4"/>
        <v>0.99890706450566913</v>
      </c>
      <c r="O17" s="8">
        <f t="shared" si="4"/>
        <v>0.96043558443773258</v>
      </c>
      <c r="P17" s="8">
        <f t="shared" si="23"/>
        <v>-8.2409095417679268E-6</v>
      </c>
      <c r="Q17" s="8">
        <f t="shared" si="5"/>
        <v>-1.0929354943308711E-3</v>
      </c>
      <c r="R17" s="8">
        <f t="shared" si="5"/>
        <v>-3.9564415562267419E-2</v>
      </c>
      <c r="S17" s="10">
        <f t="shared" si="6"/>
        <v>2.2171631643320554E-8</v>
      </c>
      <c r="T17" s="10">
        <f t="shared" si="7"/>
        <v>2.2831466838933117E-6</v>
      </c>
      <c r="U17" s="10">
        <f t="shared" si="24"/>
        <v>5.6190854128174013E-5</v>
      </c>
      <c r="V17" s="12">
        <f t="shared" si="8"/>
        <v>1.5644303287526982</v>
      </c>
      <c r="W17" s="12">
        <f t="shared" si="9"/>
        <v>146.12138776917195</v>
      </c>
      <c r="X17" s="12">
        <f t="shared" si="25"/>
        <v>3245.5837344433312</v>
      </c>
      <c r="Y17" s="14">
        <f t="shared" si="10"/>
        <v>-695.90290296477895</v>
      </c>
      <c r="Z17" s="14">
        <f t="shared" si="11"/>
        <v>-692.14985577490563</v>
      </c>
      <c r="AA17" s="14">
        <f t="shared" si="12"/>
        <v>-601.03245464223733</v>
      </c>
      <c r="AB17" s="16">
        <f t="shared" si="13"/>
        <v>-2.4422130132763568E-2</v>
      </c>
      <c r="AC17" s="16">
        <f t="shared" si="14"/>
        <v>-2.0536532378762478</v>
      </c>
      <c r="AD17" s="16">
        <f t="shared" si="15"/>
        <v>-34.914745972174316</v>
      </c>
      <c r="AE17" s="18">
        <f t="shared" si="16"/>
        <v>34796.709578567694</v>
      </c>
      <c r="AF17" s="18">
        <f t="shared" si="17"/>
        <v>34753.614176514449</v>
      </c>
      <c r="AG17" s="18">
        <f t="shared" si="18"/>
        <v>33297.206466555195</v>
      </c>
      <c r="AH17" s="18">
        <f t="shared" si="19"/>
        <v>-0.34332382211451995</v>
      </c>
      <c r="AI17" s="18">
        <f t="shared" si="20"/>
        <v>-43.438725875359552</v>
      </c>
      <c r="AJ17" s="18">
        <f t="shared" si="21"/>
        <v>-1499.8464358346157</v>
      </c>
    </row>
    <row r="18" spans="2:36" x14ac:dyDescent="0.4">
      <c r="F18">
        <v>35600</v>
      </c>
      <c r="G18" s="6">
        <f t="shared" si="0"/>
        <v>4.2361615008472793</v>
      </c>
      <c r="H18" s="6">
        <f>(LN($D$13/$F18)+(sigma2^2/2))*(rate2+TimeofExpiration2)/(sigma2*SQRT(TimeofExpiration2))</f>
        <v>2.9920123145267659</v>
      </c>
      <c r="I18" s="6">
        <f>(LN($E$13/$F18)+(sigma2^2/2))*(rate2+TimeofExpiration2)/(sigma2*SQRT(TimeofExpiration2))</f>
        <v>1.684033307644224</v>
      </c>
      <c r="J18">
        <f t="shared" si="1"/>
        <v>4.1961615008472792</v>
      </c>
      <c r="K18">
        <f t="shared" si="2"/>
        <v>2.9520123145267658</v>
      </c>
      <c r="L18">
        <f t="shared" si="3"/>
        <v>1.644033307644224</v>
      </c>
      <c r="M18" s="8">
        <f t="shared" si="22"/>
        <v>0.9999886313366646</v>
      </c>
      <c r="N18" s="8">
        <f t="shared" si="4"/>
        <v>0.99861427458346919</v>
      </c>
      <c r="O18" s="8">
        <f t="shared" si="4"/>
        <v>0.95391238405704393</v>
      </c>
      <c r="P18" s="8">
        <f t="shared" si="23"/>
        <v>-1.136866333539821E-5</v>
      </c>
      <c r="Q18" s="8">
        <f t="shared" si="5"/>
        <v>-1.3857254165308142E-3</v>
      </c>
      <c r="R18" s="8">
        <f t="shared" si="5"/>
        <v>-4.6087615942956073E-2</v>
      </c>
      <c r="S18" s="10">
        <f t="shared" si="6"/>
        <v>3.0121707785619412E-8</v>
      </c>
      <c r="T18" s="10">
        <f t="shared" si="7"/>
        <v>2.8369918168700118E-6</v>
      </c>
      <c r="U18" s="10">
        <f t="shared" si="24"/>
        <v>6.3568770526348698E-5</v>
      </c>
      <c r="V18" s="12">
        <f t="shared" si="8"/>
        <v>2.1253877013533051</v>
      </c>
      <c r="W18" s="12">
        <f t="shared" si="9"/>
        <v>181.56747627968073</v>
      </c>
      <c r="X18" s="12">
        <f t="shared" si="25"/>
        <v>3671.7321856019012</v>
      </c>
      <c r="Y18" s="14">
        <f t="shared" si="10"/>
        <v>-697.84947444118086</v>
      </c>
      <c r="Z18" s="14">
        <f t="shared" si="11"/>
        <v>-693.16843234069245</v>
      </c>
      <c r="AA18" s="14">
        <f t="shared" si="12"/>
        <v>-589.51265370190094</v>
      </c>
      <c r="AB18" s="16">
        <f t="shared" si="13"/>
        <v>-3.303455482521922E-2</v>
      </c>
      <c r="AC18" s="16">
        <f t="shared" si="14"/>
        <v>-2.529675997469941</v>
      </c>
      <c r="AD18" s="16">
        <f t="shared" si="15"/>
        <v>-38.480485731567242</v>
      </c>
      <c r="AE18" s="18">
        <f t="shared" si="16"/>
        <v>34894.599109760391</v>
      </c>
      <c r="AF18" s="18">
        <f t="shared" si="17"/>
        <v>34839.989093314303</v>
      </c>
      <c r="AG18" s="18">
        <f t="shared" si="18"/>
        <v>33147.364870696947</v>
      </c>
      <c r="AH18" s="18">
        <f t="shared" si="19"/>
        <v>-0.47365996009234457</v>
      </c>
      <c r="AI18" s="18">
        <f t="shared" si="20"/>
        <v>-55.083676406183706</v>
      </c>
      <c r="AJ18" s="18">
        <f t="shared" si="21"/>
        <v>-1747.7078990235391</v>
      </c>
    </row>
    <row r="19" spans="2:36" x14ac:dyDescent="0.4">
      <c r="F19">
        <v>35700</v>
      </c>
      <c r="G19" s="6">
        <f t="shared" si="0"/>
        <v>4.164632702193261</v>
      </c>
      <c r="H19" s="6">
        <f>(LN($D$13/$F19)+(sigma2^2/2))*(rate2+TimeofExpiration2)/(sigma2*SQRT(TimeofExpiration2))</f>
        <v>2.920483515872744</v>
      </c>
      <c r="I19" s="6">
        <f>(LN($E$13/$F19)+(sigma2^2/2))*(rate2+TimeofExpiration2)/(sigma2*SQRT(TimeofExpiration2))</f>
        <v>1.6125045089902053</v>
      </c>
      <c r="J19">
        <f t="shared" si="1"/>
        <v>4.1246327021932609</v>
      </c>
      <c r="K19">
        <f t="shared" si="2"/>
        <v>2.880483515872744</v>
      </c>
      <c r="L19">
        <f t="shared" si="3"/>
        <v>1.5725045089902052</v>
      </c>
      <c r="M19" s="8">
        <f t="shared" si="22"/>
        <v>0.99998440728997118</v>
      </c>
      <c r="N19" s="8">
        <f t="shared" si="4"/>
        <v>0.99825255657242662</v>
      </c>
      <c r="O19" s="8">
        <f t="shared" si="4"/>
        <v>0.94657390023181032</v>
      </c>
      <c r="P19" s="8">
        <f t="shared" si="23"/>
        <v>-1.5592710028822232E-5</v>
      </c>
      <c r="Q19" s="8">
        <f t="shared" si="5"/>
        <v>-1.7474434275733808E-3</v>
      </c>
      <c r="R19" s="8">
        <f t="shared" si="5"/>
        <v>-5.3426099768189683E-2</v>
      </c>
      <c r="S19" s="10">
        <f t="shared" si="6"/>
        <v>4.067832760128135E-8</v>
      </c>
      <c r="T19" s="10">
        <f t="shared" si="7"/>
        <v>3.5050371980717729E-6</v>
      </c>
      <c r="U19" s="10">
        <f t="shared" si="24"/>
        <v>7.1523138673800863E-5</v>
      </c>
      <c r="V19" s="12">
        <f t="shared" si="8"/>
        <v>2.8702627955464117</v>
      </c>
      <c r="W19" s="12">
        <f t="shared" si="9"/>
        <v>224.32238067659347</v>
      </c>
      <c r="X19" s="12">
        <f t="shared" si="25"/>
        <v>4131.1764897987377</v>
      </c>
      <c r="Y19" s="14">
        <f t="shared" si="10"/>
        <v>-699.79145361018368</v>
      </c>
      <c r="Z19" s="14">
        <f t="shared" si="11"/>
        <v>-693.98594939276518</v>
      </c>
      <c r="AA19" s="14">
        <f t="shared" si="12"/>
        <v>-576.70456599152999</v>
      </c>
      <c r="AB19" s="16">
        <f t="shared" si="13"/>
        <v>-4.4411380982289035E-2</v>
      </c>
      <c r="AC19" s="16">
        <f t="shared" si="14"/>
        <v>-3.0969918788056345</v>
      </c>
      <c r="AD19" s="16">
        <f t="shared" si="15"/>
        <v>-42.08977284245632</v>
      </c>
      <c r="AE19" s="18">
        <f t="shared" si="16"/>
        <v>34992.442943304733</v>
      </c>
      <c r="AF19" s="18">
        <f t="shared" si="17"/>
        <v>34923.619850314855</v>
      </c>
      <c r="AG19" s="18">
        <f t="shared" si="18"/>
        <v>32966.404789375243</v>
      </c>
      <c r="AH19" s="18">
        <f t="shared" si="19"/>
        <v>-0.64969374643196032</v>
      </c>
      <c r="AI19" s="18">
        <f t="shared" si="20"/>
        <v>-69.472786736311775</v>
      </c>
      <c r="AJ19" s="18">
        <f t="shared" si="21"/>
        <v>-2026.6878476759218</v>
      </c>
    </row>
    <row r="20" spans="2:36" x14ac:dyDescent="0.4">
      <c r="F20">
        <v>35800</v>
      </c>
      <c r="G20" s="6">
        <f t="shared" si="0"/>
        <v>4.0933039843561989</v>
      </c>
      <c r="H20" s="6">
        <f>(LN($D$13/$F20)+(sigma2^2/2))*(rate2+TimeofExpiration2)/(sigma2*SQRT(TimeofExpiration2))</f>
        <v>2.8491547980356811</v>
      </c>
      <c r="I20" s="6">
        <f>(LN($E$13/$F20)+(sigma2^2/2))*(rate2+TimeofExpiration2)/(sigma2*SQRT(TimeofExpiration2))</f>
        <v>1.5411757911531467</v>
      </c>
      <c r="J20">
        <f t="shared" si="1"/>
        <v>4.0533039843561989</v>
      </c>
      <c r="K20">
        <f t="shared" si="2"/>
        <v>2.809154798035681</v>
      </c>
      <c r="L20">
        <f t="shared" si="3"/>
        <v>1.5011757911531467</v>
      </c>
      <c r="M20" s="8">
        <f t="shared" si="22"/>
        <v>0.99997873652010216</v>
      </c>
      <c r="N20" s="8">
        <f t="shared" si="4"/>
        <v>0.99780822266796687</v>
      </c>
      <c r="O20" s="8">
        <f t="shared" si="4"/>
        <v>0.9383629961230342</v>
      </c>
      <c r="P20" s="8">
        <f t="shared" si="23"/>
        <v>-2.1263479897837279E-5</v>
      </c>
      <c r="Q20" s="8">
        <f t="shared" si="5"/>
        <v>-2.1917773320331291E-3</v>
      </c>
      <c r="R20" s="8">
        <f t="shared" si="5"/>
        <v>-6.1637003876965801E-2</v>
      </c>
      <c r="S20" s="10">
        <f t="shared" si="6"/>
        <v>5.4609588297155376E-8</v>
      </c>
      <c r="T20" s="10">
        <f t="shared" si="7"/>
        <v>4.3058371760147101E-6</v>
      </c>
      <c r="U20" s="10">
        <f t="shared" si="24"/>
        <v>8.0037478106232684E-5</v>
      </c>
      <c r="V20" s="12">
        <f t="shared" si="8"/>
        <v>3.8532525502472832</v>
      </c>
      <c r="W20" s="12">
        <f t="shared" si="9"/>
        <v>275.57357926494149</v>
      </c>
      <c r="X20" s="12">
        <f t="shared" si="25"/>
        <v>4622.9647354159997</v>
      </c>
      <c r="Y20" s="14">
        <f t="shared" si="10"/>
        <v>-701.72746426547087</v>
      </c>
      <c r="Z20" s="14">
        <f t="shared" si="11"/>
        <v>-694.56774130119834</v>
      </c>
      <c r="AA20" s="14">
        <f t="shared" si="12"/>
        <v>-562.58295829710653</v>
      </c>
      <c r="AB20" s="16">
        <f t="shared" si="13"/>
        <v>-5.9344279844017231E-2</v>
      </c>
      <c r="AC20" s="16">
        <f t="shared" si="14"/>
        <v>-3.7684343841592334</v>
      </c>
      <c r="AD20" s="16">
        <f t="shared" si="15"/>
        <v>-45.679297626109765</v>
      </c>
      <c r="AE20" s="18">
        <f t="shared" si="16"/>
        <v>35090.226465823791</v>
      </c>
      <c r="AF20" s="18">
        <f t="shared" si="17"/>
        <v>35003.960644324863</v>
      </c>
      <c r="AG20" s="18">
        <f t="shared" si="18"/>
        <v>32752.112650271327</v>
      </c>
      <c r="AH20" s="18">
        <f t="shared" si="19"/>
        <v>-0.88603855804642184</v>
      </c>
      <c r="AI20" s="18">
        <f t="shared" si="20"/>
        <v>-87.151860056979771</v>
      </c>
      <c r="AJ20" s="18">
        <f t="shared" si="21"/>
        <v>-2338.9998541105119</v>
      </c>
    </row>
    <row r="21" spans="2:36" x14ac:dyDescent="0.4">
      <c r="F21">
        <v>35900</v>
      </c>
      <c r="G21" s="6">
        <f t="shared" si="0"/>
        <v>4.022174231122948</v>
      </c>
      <c r="H21" s="6">
        <f>(LN($D$13/$F21)+(sigma2^2/2))*(rate2+TimeofExpiration2)/(sigma2*SQRT(TimeofExpiration2))</f>
        <v>2.7780250448024306</v>
      </c>
      <c r="I21" s="6">
        <f>(LN($E$13/$F21)+(sigma2^2/2))*(rate2+TimeofExpiration2)/(sigma2*SQRT(TimeofExpiration2))</f>
        <v>1.470046037919891</v>
      </c>
      <c r="J21">
        <f t="shared" si="1"/>
        <v>3.982174231122948</v>
      </c>
      <c r="K21">
        <f t="shared" si="2"/>
        <v>2.7380250448024306</v>
      </c>
      <c r="L21">
        <f t="shared" si="3"/>
        <v>1.4300460379198909</v>
      </c>
      <c r="M21" s="8">
        <f t="shared" si="22"/>
        <v>0.99997116831154609</v>
      </c>
      <c r="N21" s="8">
        <f t="shared" si="4"/>
        <v>0.99726547986653313</v>
      </c>
      <c r="O21" s="8">
        <f t="shared" si="4"/>
        <v>0.92922535716322985</v>
      </c>
      <c r="P21" s="8">
        <f t="shared" si="23"/>
        <v>-2.883168845391193E-5</v>
      </c>
      <c r="Q21" s="8">
        <f t="shared" si="5"/>
        <v>-2.7345201334668667E-3</v>
      </c>
      <c r="R21" s="8">
        <f t="shared" si="5"/>
        <v>-7.0774642836770152E-2</v>
      </c>
      <c r="S21" s="10">
        <f t="shared" si="6"/>
        <v>7.2881545483283245E-8</v>
      </c>
      <c r="T21" s="10">
        <f t="shared" si="7"/>
        <v>5.2598449112250007E-6</v>
      </c>
      <c r="U21" s="10">
        <f t="shared" si="24"/>
        <v>8.9084800804502262E-5</v>
      </c>
      <c r="V21" s="12">
        <f t="shared" si="8"/>
        <v>5.142521849300465</v>
      </c>
      <c r="W21" s="12">
        <f t="shared" si="9"/>
        <v>336.63007431840003</v>
      </c>
      <c r="X21" s="12">
        <f t="shared" si="25"/>
        <v>5145.538094468051</v>
      </c>
      <c r="Y21" s="14">
        <f t="shared" si="10"/>
        <v>-703.65576715198586</v>
      </c>
      <c r="Z21" s="14">
        <f t="shared" si="11"/>
        <v>-694.87502789182645</v>
      </c>
      <c r="AA21" s="14">
        <f t="shared" si="12"/>
        <v>-547.13674104227107</v>
      </c>
      <c r="AB21" s="16">
        <f t="shared" si="13"/>
        <v>-7.8820591707674206E-2</v>
      </c>
      <c r="AC21" s="16">
        <f t="shared" si="14"/>
        <v>-4.5575834303122047</v>
      </c>
      <c r="AD21" s="16">
        <f t="shared" si="15"/>
        <v>-49.175617386742786</v>
      </c>
      <c r="AE21" s="18">
        <f t="shared" si="16"/>
        <v>35187.930879448599</v>
      </c>
      <c r="AF21" s="18">
        <f t="shared" si="17"/>
        <v>35080.38146890972</v>
      </c>
      <c r="AG21" s="18">
        <f t="shared" si="18"/>
        <v>32502.375146581599</v>
      </c>
      <c r="AH21" s="18">
        <f t="shared" si="19"/>
        <v>-1.2014922639167549</v>
      </c>
      <c r="AI21" s="18">
        <f t="shared" si="20"/>
        <v>-108.75090280278977</v>
      </c>
      <c r="AJ21" s="18">
        <f t="shared" si="21"/>
        <v>-2686.7572251309111</v>
      </c>
    </row>
    <row r="22" spans="2:36" x14ac:dyDescent="0.4">
      <c r="F22">
        <v>36000</v>
      </c>
      <c r="G22" s="6">
        <f t="shared" si="0"/>
        <v>3.9512423355950879</v>
      </c>
      <c r="H22" s="6">
        <f>(LN($D$13/$F22)+(sigma2^2/2))*(rate2+TimeofExpiration2)/(sigma2*SQRT(TimeofExpiration2))</f>
        <v>2.7070931492745718</v>
      </c>
      <c r="I22" s="6">
        <f>(LN($E$13/$F22)+(sigma2^2/2))*(rate2+TimeofExpiration2)/(sigma2*SQRT(TimeofExpiration2))</f>
        <v>1.3991141423920328</v>
      </c>
      <c r="J22">
        <f t="shared" si="1"/>
        <v>3.9112423355950878</v>
      </c>
      <c r="K22">
        <f t="shared" si="2"/>
        <v>2.6670931492745718</v>
      </c>
      <c r="L22">
        <f t="shared" si="3"/>
        <v>1.3591141423920328</v>
      </c>
      <c r="M22" s="8">
        <f t="shared" si="22"/>
        <v>0.99996112672577109</v>
      </c>
      <c r="N22" s="8">
        <f t="shared" si="4"/>
        <v>0.99660623951601568</v>
      </c>
      <c r="O22" s="8">
        <f t="shared" si="4"/>
        <v>0.91911062128664578</v>
      </c>
      <c r="P22" s="8">
        <f t="shared" si="23"/>
        <v>-3.887327422891218E-5</v>
      </c>
      <c r="Q22" s="8">
        <f t="shared" si="5"/>
        <v>-3.3937604839843205E-3</v>
      </c>
      <c r="R22" s="8">
        <f t="shared" si="5"/>
        <v>-8.0889378713354221E-2</v>
      </c>
      <c r="S22" s="10">
        <f t="shared" si="6"/>
        <v>9.6700660616595938E-8</v>
      </c>
      <c r="T22" s="10">
        <f t="shared" si="7"/>
        <v>6.3893750164713478E-6</v>
      </c>
      <c r="U22" s="10">
        <f t="shared" si="24"/>
        <v>9.8627114545877574E-5</v>
      </c>
      <c r="V22" s="12">
        <f t="shared" si="8"/>
        <v>6.8231986131070084</v>
      </c>
      <c r="W22" s="12">
        <f t="shared" si="9"/>
        <v>408.92000105416622</v>
      </c>
      <c r="X22" s="12">
        <f t="shared" si="25"/>
        <v>5696.702136169888</v>
      </c>
      <c r="Y22" s="14">
        <f t="shared" si="10"/>
        <v>-705.57417923426908</v>
      </c>
      <c r="Z22" s="14">
        <f t="shared" si="11"/>
        <v>-694.86480841067794</v>
      </c>
      <c r="AA22" s="14">
        <f t="shared" si="12"/>
        <v>-530.37039236126179</v>
      </c>
      <c r="AB22" s="16">
        <f t="shared" si="13"/>
        <v>-0.10406239792953959</v>
      </c>
      <c r="AC22" s="16">
        <f t="shared" si="14"/>
        <v>-5.4785636719808366</v>
      </c>
      <c r="AD22" s="16">
        <f t="shared" si="15"/>
        <v>-52.495433027193464</v>
      </c>
      <c r="AE22" s="18">
        <f t="shared" si="16"/>
        <v>35285.532160326555</v>
      </c>
      <c r="AF22" s="18">
        <f t="shared" si="17"/>
        <v>35152.160421588058</v>
      </c>
      <c r="AG22" s="18">
        <f t="shared" si="18"/>
        <v>32215.221754232971</v>
      </c>
      <c r="AH22" s="18">
        <f t="shared" si="19"/>
        <v>-1.6200787166300299</v>
      </c>
      <c r="AI22" s="18">
        <f t="shared" si="20"/>
        <v>-134.99181745512445</v>
      </c>
      <c r="AJ22" s="18">
        <f t="shared" si="21"/>
        <v>-3071.9304848102151</v>
      </c>
    </row>
    <row r="23" spans="2:36" x14ac:dyDescent="0.4">
      <c r="F23">
        <v>36100</v>
      </c>
      <c r="G23" s="6">
        <f t="shared" si="0"/>
        <v>3.8805072000855927</v>
      </c>
      <c r="H23" s="6">
        <f>(LN($D$13/$F23)+(sigma2^2/2))*(rate2+TimeofExpiration2)/(sigma2*SQRT(TimeofExpiration2))</f>
        <v>2.6363580137650793</v>
      </c>
      <c r="I23" s="6">
        <f>(LN($E$13/$F23)+(sigma2^2/2))*(rate2+TimeofExpiration2)/(sigma2*SQRT(TimeofExpiration2))</f>
        <v>1.3283790068825372</v>
      </c>
      <c r="J23">
        <f t="shared" si="1"/>
        <v>3.8405072000855927</v>
      </c>
      <c r="K23">
        <f t="shared" si="2"/>
        <v>2.5963580137650792</v>
      </c>
      <c r="L23">
        <f t="shared" si="3"/>
        <v>1.2883790068825371</v>
      </c>
      <c r="M23" s="8">
        <f t="shared" si="22"/>
        <v>0.9999478805705504</v>
      </c>
      <c r="N23" s="8">
        <f t="shared" si="4"/>
        <v>0.9958099368430755</v>
      </c>
      <c r="O23" s="8">
        <f t="shared" si="4"/>
        <v>0.90797353445443574</v>
      </c>
      <c r="P23" s="8">
        <f t="shared" si="23"/>
        <v>-5.2119429449604127E-5</v>
      </c>
      <c r="Q23" s="8">
        <f t="shared" si="5"/>
        <v>-4.190063156924495E-3</v>
      </c>
      <c r="R23" s="8">
        <f t="shared" si="5"/>
        <v>-9.2026465545564262E-2</v>
      </c>
      <c r="S23" s="10">
        <f t="shared" si="6"/>
        <v>1.2756297527532806E-7</v>
      </c>
      <c r="T23" s="10">
        <f t="shared" si="7"/>
        <v>7.7185099068577378E-6</v>
      </c>
      <c r="U23" s="10">
        <f t="shared" si="24"/>
        <v>1.0861516275397192E-4</v>
      </c>
      <c r="V23" s="12">
        <f t="shared" si="8"/>
        <v>9.0008435354271477</v>
      </c>
      <c r="W23" s="12">
        <f t="shared" si="9"/>
        <v>493.98463403889525</v>
      </c>
      <c r="X23" s="12">
        <f t="shared" si="25"/>
        <v>6273.6118006694187</v>
      </c>
      <c r="Y23" s="14">
        <f t="shared" si="10"/>
        <v>-707.47997921120134</v>
      </c>
      <c r="Z23" s="14">
        <f t="shared" si="11"/>
        <v>-694.48983506431796</v>
      </c>
      <c r="AA23" s="14">
        <f t="shared" si="12"/>
        <v>-512.30512988405701</v>
      </c>
      <c r="AB23" s="16">
        <f t="shared" si="13"/>
        <v>-0.13657082514118374</v>
      </c>
      <c r="AC23" s="16">
        <f t="shared" si="14"/>
        <v>-6.5457782983964723</v>
      </c>
      <c r="AD23" s="16">
        <f t="shared" si="15"/>
        <v>-55.546159783356501</v>
      </c>
      <c r="AE23" s="18">
        <f t="shared" si="16"/>
        <v>35382.999804095496</v>
      </c>
      <c r="AF23" s="18">
        <f t="shared" si="17"/>
        <v>35218.476387254792</v>
      </c>
      <c r="AG23" s="18">
        <f t="shared" si="18"/>
        <v>31888.868294872274</v>
      </c>
      <c r="AH23" s="18">
        <f t="shared" si="19"/>
        <v>-2.1723022783679613</v>
      </c>
      <c r="AI23" s="18">
        <f t="shared" si="20"/>
        <v>-166.69571911907161</v>
      </c>
      <c r="AJ23" s="18">
        <f t="shared" si="21"/>
        <v>-3496.3038115015934</v>
      </c>
    </row>
    <row r="24" spans="2:36" x14ac:dyDescent="0.4">
      <c r="F24">
        <v>36200</v>
      </c>
      <c r="G24" s="6">
        <f t="shared" si="0"/>
        <v>3.8099677360168926</v>
      </c>
      <c r="H24" s="6">
        <f>(LN($D$13/$F24)+(sigma2^2/2))*(rate2+TimeofExpiration2)/(sigma2*SQRT(TimeofExpiration2))</f>
        <v>2.5658185496963801</v>
      </c>
      <c r="I24" s="6">
        <f>(LN($E$13/$F24)+(sigma2^2/2))*(rate2+TimeofExpiration2)/(sigma2*SQRT(TimeofExpiration2))</f>
        <v>1.2578395428138396</v>
      </c>
      <c r="J24">
        <f t="shared" si="1"/>
        <v>3.7699677360168926</v>
      </c>
      <c r="K24">
        <f t="shared" si="2"/>
        <v>2.5258185496963801</v>
      </c>
      <c r="L24">
        <f t="shared" si="3"/>
        <v>1.2178395428138395</v>
      </c>
      <c r="M24" s="8">
        <f t="shared" si="22"/>
        <v>0.9999305075358661</v>
      </c>
      <c r="N24" s="8">
        <f t="shared" si="4"/>
        <v>0.9948533670923233</v>
      </c>
      <c r="O24" s="8">
        <f t="shared" si="4"/>
        <v>0.89577510413062611</v>
      </c>
      <c r="P24" s="8">
        <f t="shared" si="23"/>
        <v>-6.949246413390231E-5</v>
      </c>
      <c r="Q24" s="8">
        <f t="shared" si="5"/>
        <v>-5.1466329076766959E-3</v>
      </c>
      <c r="R24" s="8">
        <f t="shared" si="5"/>
        <v>-0.10422489586937389</v>
      </c>
      <c r="S24" s="10">
        <f t="shared" si="6"/>
        <v>1.6731046470919273E-7</v>
      </c>
      <c r="T24" s="10">
        <f t="shared" si="7"/>
        <v>9.272942041433188E-6</v>
      </c>
      <c r="U24" s="10">
        <f t="shared" si="24"/>
        <v>1.1898842901147772E-4</v>
      </c>
      <c r="V24" s="12">
        <f t="shared" si="8"/>
        <v>11.805426389880637</v>
      </c>
      <c r="W24" s="12">
        <f t="shared" si="9"/>
        <v>593.46829065172403</v>
      </c>
      <c r="X24" s="12">
        <f t="shared" si="25"/>
        <v>6872.771659702953</v>
      </c>
      <c r="Y24" s="14">
        <f t="shared" si="10"/>
        <v>-709.36979801680525</v>
      </c>
      <c r="Z24" s="14">
        <f t="shared" si="11"/>
        <v>-693.69868138794232</v>
      </c>
      <c r="AA24" s="14">
        <f t="shared" si="12"/>
        <v>-492.97977729570982</v>
      </c>
      <c r="AB24" s="16">
        <f t="shared" si="13"/>
        <v>-0.17817559830967333</v>
      </c>
      <c r="AC24" s="16">
        <f t="shared" si="14"/>
        <v>-7.7735735399205597</v>
      </c>
      <c r="AD24" s="16">
        <f t="shared" si="15"/>
        <v>-58.226804209737182</v>
      </c>
      <c r="AE24" s="18">
        <f t="shared" si="16"/>
        <v>35480.295327230146</v>
      </c>
      <c r="AF24" s="18">
        <f t="shared" si="17"/>
        <v>35278.402360048844</v>
      </c>
      <c r="AG24" s="18">
        <f t="shared" si="18"/>
        <v>31521.760524488443</v>
      </c>
      <c r="AH24" s="18">
        <f t="shared" si="19"/>
        <v>-2.8966464743969706</v>
      </c>
      <c r="AI24" s="18">
        <f t="shared" si="20"/>
        <v>-204.78961365569597</v>
      </c>
      <c r="AJ24" s="18">
        <f t="shared" si="21"/>
        <v>-3961.4314492160938</v>
      </c>
    </row>
    <row r="25" spans="2:36" x14ac:dyDescent="0.4">
      <c r="F25">
        <v>36300</v>
      </c>
      <c r="G25" s="6">
        <f t="shared" si="0"/>
        <v>3.7396228638203599</v>
      </c>
      <c r="H25" s="6">
        <f>(LN($D$13/$F25)+(sigma2^2/2))*(rate2+TimeofExpiration2)/(sigma2*SQRT(TimeofExpiration2))</f>
        <v>2.4954736774998465</v>
      </c>
      <c r="I25" s="6">
        <f>(LN($E$13/$F25)+(sigma2^2/2))*(rate2+TimeofExpiration2)/(sigma2*SQRT(TimeofExpiration2))</f>
        <v>1.1874946706173051</v>
      </c>
      <c r="J25">
        <f t="shared" si="1"/>
        <v>3.6996228638203599</v>
      </c>
      <c r="K25">
        <f t="shared" si="2"/>
        <v>2.4554736774998465</v>
      </c>
      <c r="L25">
        <f t="shared" si="3"/>
        <v>1.147494670617305</v>
      </c>
      <c r="M25" s="8">
        <f t="shared" si="22"/>
        <v>0.99990785172413676</v>
      </c>
      <c r="N25" s="8">
        <f t="shared" si="4"/>
        <v>0.99371054561763061</v>
      </c>
      <c r="O25" s="8">
        <f t="shared" si="4"/>
        <v>0.88248372125334384</v>
      </c>
      <c r="P25" s="8">
        <f t="shared" si="23"/>
        <v>-9.2148275863235263E-5</v>
      </c>
      <c r="Q25" s="8">
        <f t="shared" si="5"/>
        <v>-6.289454382369386E-3</v>
      </c>
      <c r="R25" s="8">
        <f t="shared" si="5"/>
        <v>-0.11751627874665616</v>
      </c>
      <c r="S25" s="10">
        <f t="shared" si="6"/>
        <v>2.1819488897392856E-7</v>
      </c>
      <c r="T25" s="10">
        <f t="shared" si="7"/>
        <v>1.1079745137062614E-5</v>
      </c>
      <c r="U25" s="10">
        <f t="shared" si="24"/>
        <v>1.2967542719029642E-4</v>
      </c>
      <c r="V25" s="12">
        <f t="shared" si="8"/>
        <v>15.395831366000397</v>
      </c>
      <c r="W25" s="12">
        <f t="shared" si="9"/>
        <v>709.10368877200733</v>
      </c>
      <c r="X25" s="12">
        <f t="shared" si="25"/>
        <v>7490.0526745115212</v>
      </c>
      <c r="Y25" s="14">
        <f t="shared" si="10"/>
        <v>-711.23949320853649</v>
      </c>
      <c r="Z25" s="14">
        <f t="shared" si="11"/>
        <v>-692.43592010904263</v>
      </c>
      <c r="AA25" s="14">
        <f t="shared" si="12"/>
        <v>-472.4512794353094</v>
      </c>
      <c r="AB25" s="16">
        <f t="shared" si="13"/>
        <v>-0.23108964247208863</v>
      </c>
      <c r="AC25" s="16">
        <f t="shared" si="14"/>
        <v>-9.1758308392185697</v>
      </c>
      <c r="AD25" s="16">
        <f t="shared" si="15"/>
        <v>-60.42914959506588</v>
      </c>
      <c r="AE25" s="18">
        <f t="shared" si="16"/>
        <v>35577.370491792819</v>
      </c>
      <c r="AF25" s="18">
        <f t="shared" si="17"/>
        <v>35330.899694224136</v>
      </c>
      <c r="AG25" s="18">
        <f t="shared" si="18"/>
        <v>31112.616646276987</v>
      </c>
      <c r="AH25" s="18">
        <f t="shared" si="19"/>
        <v>-3.8413492423959661</v>
      </c>
      <c r="AI25" s="18">
        <f t="shared" si="20"/>
        <v>-250.31214681107886</v>
      </c>
      <c r="AJ25" s="18">
        <f t="shared" si="21"/>
        <v>-4468.5951947582271</v>
      </c>
    </row>
    <row r="26" spans="2:36" x14ac:dyDescent="0.4">
      <c r="F26">
        <v>36400</v>
      </c>
      <c r="G26" s="6">
        <f t="shared" si="0"/>
        <v>3.6694715128371675</v>
      </c>
      <c r="H26" s="6">
        <f>(LN($D$13/$F26)+(sigma2^2/2))*(rate2+TimeofExpiration2)/(sigma2*SQRT(TimeofExpiration2))</f>
        <v>2.4253223265166559</v>
      </c>
      <c r="I26" s="6">
        <f>(LN($E$13/$F26)+(sigma2^2/2))*(rate2+TimeofExpiration2)/(sigma2*SQRT(TimeofExpiration2))</f>
        <v>1.1173433196341169</v>
      </c>
      <c r="J26">
        <f t="shared" si="1"/>
        <v>3.6294715128371675</v>
      </c>
      <c r="K26">
        <f t="shared" si="2"/>
        <v>2.3853223265166559</v>
      </c>
      <c r="L26">
        <f t="shared" si="3"/>
        <v>1.0773433196341169</v>
      </c>
      <c r="M26" s="8">
        <f t="shared" si="22"/>
        <v>0.99987847379025974</v>
      </c>
      <c r="N26" s="8">
        <f t="shared" si="4"/>
        <v>0.99235259983010493</v>
      </c>
      <c r="O26" s="8">
        <f t="shared" si="4"/>
        <v>0.86807622002428075</v>
      </c>
      <c r="P26" s="8">
        <f t="shared" si="23"/>
        <v>-1.2152620974026362E-4</v>
      </c>
      <c r="Q26" s="8">
        <f t="shared" si="5"/>
        <v>-7.6474001698950689E-3</v>
      </c>
      <c r="R26" s="8">
        <f t="shared" si="5"/>
        <v>-0.13192377997571925</v>
      </c>
      <c r="S26" s="10">
        <f t="shared" si="6"/>
        <v>2.8294927451547629E-7</v>
      </c>
      <c r="T26" s="10">
        <f t="shared" si="7"/>
        <v>1.3167068776785385E-5</v>
      </c>
      <c r="U26" s="10">
        <f t="shared" si="24"/>
        <v>1.4059428958752341E-4</v>
      </c>
      <c r="V26" s="12">
        <f t="shared" si="8"/>
        <v>19.964900809812008</v>
      </c>
      <c r="W26" s="12">
        <f t="shared" si="9"/>
        <v>842.69240171426463</v>
      </c>
      <c r="X26" s="12">
        <f t="shared" si="25"/>
        <v>8120.7261665753522</v>
      </c>
      <c r="Y26" s="14">
        <f t="shared" si="10"/>
        <v>-713.08400639476326</v>
      </c>
      <c r="Z26" s="14">
        <f t="shared" si="11"/>
        <v>-690.64242391421749</v>
      </c>
      <c r="AA26" s="14">
        <f t="shared" si="12"/>
        <v>-450.79482863247421</v>
      </c>
      <c r="AB26" s="16">
        <f t="shared" si="13"/>
        <v>-0.29796825983784908</v>
      </c>
      <c r="AC26" s="16">
        <f t="shared" si="14"/>
        <v>-10.765485815470253</v>
      </c>
      <c r="AD26" s="16">
        <f t="shared" si="15"/>
        <v>-62.039241128170445</v>
      </c>
      <c r="AE26" s="18">
        <f t="shared" si="16"/>
        <v>35674.165220547977</v>
      </c>
      <c r="AF26" s="18">
        <f t="shared" si="17"/>
        <v>35374.813597425142</v>
      </c>
      <c r="AG26" s="18">
        <f t="shared" si="18"/>
        <v>30660.467598199062</v>
      </c>
      <c r="AH26" s="18">
        <f t="shared" si="19"/>
        <v>-5.0664878179195512</v>
      </c>
      <c r="AI26" s="18">
        <f t="shared" si="20"/>
        <v>-304.418110940752</v>
      </c>
      <c r="AJ26" s="18">
        <f t="shared" si="21"/>
        <v>-5018.7641101668296</v>
      </c>
    </row>
    <row r="27" spans="2:36" x14ac:dyDescent="0.4">
      <c r="F27">
        <v>36500</v>
      </c>
      <c r="G27" s="6">
        <f t="shared" si="0"/>
        <v>3.599512621220522</v>
      </c>
      <c r="H27" s="6">
        <f>(LN($D$13/$F27)+(sigma2^2/2))*(rate2+TimeofExpiration2)/(sigma2*SQRT(TimeofExpiration2))</f>
        <v>2.3553634349000059</v>
      </c>
      <c r="I27" s="6">
        <f>(LN($E$13/$F27)+(sigma2^2/2))*(rate2+TimeofExpiration2)/(sigma2*SQRT(TimeofExpiration2))</f>
        <v>1.0473844280174673</v>
      </c>
      <c r="J27">
        <f t="shared" si="1"/>
        <v>3.5595126212205219</v>
      </c>
      <c r="K27">
        <f t="shared" si="2"/>
        <v>2.3153634349000058</v>
      </c>
      <c r="L27">
        <f t="shared" si="3"/>
        <v>1.0073844280174673</v>
      </c>
      <c r="M27" s="8">
        <f t="shared" si="22"/>
        <v>0.99984059292005534</v>
      </c>
      <c r="N27" s="8">
        <f t="shared" si="4"/>
        <v>0.99074770128358602</v>
      </c>
      <c r="O27" s="8">
        <f t="shared" si="4"/>
        <v>0.85253884461464824</v>
      </c>
      <c r="P27" s="8">
        <f t="shared" si="23"/>
        <v>-1.594070799446623E-4</v>
      </c>
      <c r="Q27" s="8">
        <f t="shared" si="5"/>
        <v>-9.2522987164139758E-3</v>
      </c>
      <c r="R27" s="8">
        <f t="shared" si="5"/>
        <v>-0.14746115538535176</v>
      </c>
      <c r="S27" s="10">
        <f t="shared" si="6"/>
        <v>3.6486691701629755E-7</v>
      </c>
      <c r="T27" s="10">
        <f t="shared" si="7"/>
        <v>1.5563752630511577E-5</v>
      </c>
      <c r="U27" s="10">
        <f t="shared" si="24"/>
        <v>1.5165365583390817E-4</v>
      </c>
      <c r="V27" s="12">
        <f t="shared" si="8"/>
        <v>25.745009664669951</v>
      </c>
      <c r="W27" s="12">
        <f t="shared" si="9"/>
        <v>996.08016835274077</v>
      </c>
      <c r="X27" s="12">
        <f t="shared" si="25"/>
        <v>8759.5151609665372</v>
      </c>
      <c r="Y27" s="14">
        <f t="shared" si="10"/>
        <v>-714.89720320423203</v>
      </c>
      <c r="Z27" s="14">
        <f t="shared" si="11"/>
        <v>-688.25580053807005</v>
      </c>
      <c r="AA27" s="14">
        <f t="shared" si="12"/>
        <v>-428.10357587445026</v>
      </c>
      <c r="AB27" s="16">
        <f t="shared" si="13"/>
        <v>-0.38197207688749202</v>
      </c>
      <c r="AC27" s="16">
        <f t="shared" si="14"/>
        <v>-12.553975758248257</v>
      </c>
      <c r="AD27" s="16">
        <f t="shared" si="15"/>
        <v>-62.939150799180467</v>
      </c>
      <c r="AE27" s="18">
        <f t="shared" si="16"/>
        <v>35770.605169876268</v>
      </c>
      <c r="AF27" s="18">
        <f t="shared" si="17"/>
        <v>35408.870195256241</v>
      </c>
      <c r="AG27" s="18">
        <f t="shared" si="18"/>
        <v>30164.69395468905</v>
      </c>
      <c r="AH27" s="18">
        <f t="shared" si="19"/>
        <v>-6.6464058202953513</v>
      </c>
      <c r="AI27" s="18">
        <f t="shared" si="20"/>
        <v>-368.38138044032786</v>
      </c>
      <c r="AJ27" s="18">
        <f t="shared" si="21"/>
        <v>-5612.5576210075133</v>
      </c>
    </row>
    <row r="28" spans="2:36" x14ac:dyDescent="0.4">
      <c r="F28">
        <v>36600</v>
      </c>
      <c r="G28" s="6">
        <f t="shared" si="0"/>
        <v>3.5297451358392165</v>
      </c>
      <c r="H28" s="6">
        <f>(LN($D$13/$F28)+(sigma2^2/2))*(rate2+TimeofExpiration2)/(sigma2*SQRT(TimeofExpiration2))</f>
        <v>2.2855959495187035</v>
      </c>
      <c r="I28" s="6">
        <f>(LN($E$13/$F28)+(sigma2^2/2))*(rate2+TimeofExpiration2)/(sigma2*SQRT(TimeofExpiration2))</f>
        <v>0.97761694263616383</v>
      </c>
      <c r="J28">
        <f t="shared" si="1"/>
        <v>3.4897451358392164</v>
      </c>
      <c r="K28">
        <f t="shared" si="2"/>
        <v>2.2455959495187034</v>
      </c>
      <c r="L28">
        <f t="shared" si="3"/>
        <v>0.9376169426361638</v>
      </c>
      <c r="M28" s="8">
        <f t="shared" si="22"/>
        <v>0.99979201992038047</v>
      </c>
      <c r="N28" s="8">
        <f t="shared" si="22"/>
        <v>0.98886104632116756</v>
      </c>
      <c r="O28" s="8">
        <f t="shared" si="22"/>
        <v>0.8358680927263652</v>
      </c>
      <c r="P28" s="8">
        <f t="shared" si="23"/>
        <v>-2.0798007961952969E-4</v>
      </c>
      <c r="Q28" s="8">
        <f t="shared" si="23"/>
        <v>-1.1138953678832442E-2</v>
      </c>
      <c r="R28" s="8">
        <f t="shared" si="23"/>
        <v>-0.1641319072736348</v>
      </c>
      <c r="S28" s="10">
        <f t="shared" si="6"/>
        <v>4.6788749389354432E-7</v>
      </c>
      <c r="T28" s="10">
        <f t="shared" si="7"/>
        <v>1.8298858746136318E-5</v>
      </c>
      <c r="U28" s="10">
        <f t="shared" si="24"/>
        <v>1.6275385503426615E-4</v>
      </c>
      <c r="V28" s="12">
        <f t="shared" si="8"/>
        <v>33.014141569128483</v>
      </c>
      <c r="W28" s="12">
        <f t="shared" si="9"/>
        <v>1171.1269597527241</v>
      </c>
      <c r="X28" s="12">
        <f t="shared" si="25"/>
        <v>9400.6626667792134</v>
      </c>
      <c r="Y28" s="14">
        <f t="shared" si="10"/>
        <v>-716.67169576278968</v>
      </c>
      <c r="Z28" s="14">
        <f t="shared" si="11"/>
        <v>-685.21097085195004</v>
      </c>
      <c r="AA28" s="14">
        <f t="shared" si="12"/>
        <v>-404.48791287968947</v>
      </c>
      <c r="AB28" s="16">
        <f t="shared" si="13"/>
        <v>-0.48683256500992023</v>
      </c>
      <c r="AC28" s="16">
        <f t="shared" si="14"/>
        <v>-14.550620381514108</v>
      </c>
      <c r="AD28" s="16">
        <f t="shared" si="15"/>
        <v>-63.008990690313126</v>
      </c>
      <c r="AE28" s="18">
        <f t="shared" si="16"/>
        <v>35866.598929708605</v>
      </c>
      <c r="AF28" s="18">
        <f t="shared" si="17"/>
        <v>35431.675502350219</v>
      </c>
      <c r="AG28" s="18">
        <f t="shared" si="18"/>
        <v>29625.058310763685</v>
      </c>
      <c r="AH28" s="18">
        <f t="shared" si="19"/>
        <v>-8.6725133186324719</v>
      </c>
      <c r="AI28" s="18">
        <f t="shared" si="20"/>
        <v>-443.59594067701869</v>
      </c>
      <c r="AJ28" s="18">
        <f t="shared" si="21"/>
        <v>-6250.2131322635569</v>
      </c>
    </row>
    <row r="29" spans="2:36" x14ac:dyDescent="0.4">
      <c r="F29">
        <v>36700</v>
      </c>
      <c r="G29" s="6">
        <f t="shared" si="0"/>
        <v>3.4601680121825158</v>
      </c>
      <c r="H29" s="6">
        <f>(LN($D$13/$F29)+(sigma2^2/2))*(rate2+TimeofExpiration2)/(sigma2*SQRT(TimeofExpiration2))</f>
        <v>2.2160188258620011</v>
      </c>
      <c r="I29" s="6">
        <f>(LN($E$13/$F29)+(sigma2^2/2))*(rate2+TimeofExpiration2)/(sigma2*SQRT(TimeofExpiration2))</f>
        <v>0.90803981897945951</v>
      </c>
      <c r="J29">
        <f t="shared" si="1"/>
        <v>3.4201680121825158</v>
      </c>
      <c r="K29">
        <f t="shared" si="2"/>
        <v>2.176018825862001</v>
      </c>
      <c r="L29">
        <f t="shared" si="3"/>
        <v>0.86803981897945948</v>
      </c>
      <c r="M29" s="8">
        <f t="shared" si="22"/>
        <v>0.99973008077686087</v>
      </c>
      <c r="N29" s="8">
        <f t="shared" si="22"/>
        <v>0.98665489357308156</v>
      </c>
      <c r="O29" s="8">
        <f t="shared" si="22"/>
        <v>0.81807140787707477</v>
      </c>
      <c r="P29" s="8">
        <f t="shared" si="23"/>
        <v>-2.6991922313912564E-4</v>
      </c>
      <c r="Q29" s="8">
        <f t="shared" si="23"/>
        <v>-1.3345106426918441E-2</v>
      </c>
      <c r="R29" s="8">
        <f t="shared" si="23"/>
        <v>-0.18192859212292523</v>
      </c>
      <c r="S29" s="10">
        <f t="shared" si="6"/>
        <v>5.9668951043489086E-7</v>
      </c>
      <c r="T29" s="10">
        <f t="shared" si="7"/>
        <v>2.1401123020499251E-5</v>
      </c>
      <c r="U29" s="10">
        <f t="shared" si="24"/>
        <v>1.7378836303043218E-4</v>
      </c>
      <c r="V29" s="12">
        <f t="shared" si="8"/>
        <v>42.102411856285897</v>
      </c>
      <c r="W29" s="12">
        <f t="shared" si="9"/>
        <v>1369.6718733119519</v>
      </c>
      <c r="X29" s="12">
        <f t="shared" si="25"/>
        <v>10038.015848637764</v>
      </c>
      <c r="Y29" s="14">
        <f t="shared" si="10"/>
        <v>-718.39864822409197</v>
      </c>
      <c r="Z29" s="14">
        <f t="shared" si="11"/>
        <v>-681.44089514591531</v>
      </c>
      <c r="AA29" s="14">
        <f t="shared" si="12"/>
        <v>-380.0743247546701</v>
      </c>
      <c r="AB29" s="16">
        <f t="shared" si="13"/>
        <v>-0.61691849118508302</v>
      </c>
      <c r="AC29" s="16">
        <f t="shared" si="14"/>
        <v>-16.761943871235054</v>
      </c>
      <c r="AD29" s="16">
        <f t="shared" si="15"/>
        <v>-62.12913249302224</v>
      </c>
      <c r="AE29" s="18">
        <f t="shared" si="16"/>
        <v>35962.034823060887</v>
      </c>
      <c r="AF29" s="18">
        <f t="shared" si="17"/>
        <v>35441.71663060772</v>
      </c>
      <c r="AG29" s="18">
        <f t="shared" si="18"/>
        <v>29041.73208637127</v>
      </c>
      <c r="AH29" s="18">
        <f t="shared" si="19"/>
        <v>-11.256487297031748</v>
      </c>
      <c r="AI29" s="18">
        <f t="shared" si="20"/>
        <v>-531.57467975019927</v>
      </c>
      <c r="AJ29" s="18">
        <f t="shared" si="21"/>
        <v>-6931.5592239866519</v>
      </c>
    </row>
    <row r="30" spans="2:36" x14ac:dyDescent="0.4">
      <c r="F30">
        <v>36800</v>
      </c>
      <c r="G30" s="6">
        <f t="shared" si="0"/>
        <v>3.3907802142663166</v>
      </c>
      <c r="H30" s="6">
        <f>(LN($D$13/$F30)+(sigma2^2/2))*(rate2+TimeofExpiration2)/(sigma2*SQRT(TimeofExpiration2))</f>
        <v>2.1466310279458005</v>
      </c>
      <c r="I30" s="6">
        <f>(LN($E$13/$F30)+(sigma2^2/2))*(rate2+TimeofExpiration2)/(sigma2*SQRT(TimeofExpiration2))</f>
        <v>0.83865202106326153</v>
      </c>
      <c r="J30">
        <f t="shared" si="1"/>
        <v>3.3507802142663166</v>
      </c>
      <c r="K30">
        <f t="shared" si="2"/>
        <v>2.1066310279458005</v>
      </c>
      <c r="L30">
        <f t="shared" si="3"/>
        <v>0.7986520210632615</v>
      </c>
      <c r="M30" s="8">
        <f t="shared" si="22"/>
        <v>0.99965153016211594</v>
      </c>
      <c r="N30" s="8">
        <f t="shared" si="22"/>
        <v>0.98408866615147439</v>
      </c>
      <c r="O30" s="8">
        <f t="shared" si="22"/>
        <v>0.7991676952741249</v>
      </c>
      <c r="P30" s="8">
        <f t="shared" si="23"/>
        <v>-3.4846983788405783E-4</v>
      </c>
      <c r="Q30" s="8">
        <f t="shared" si="23"/>
        <v>-1.5911333848525611E-2</v>
      </c>
      <c r="R30" s="8">
        <f t="shared" si="23"/>
        <v>-0.2008323047258751</v>
      </c>
      <c r="S30" s="10">
        <f t="shared" si="6"/>
        <v>7.5678787833824087E-7</v>
      </c>
      <c r="T30" s="10">
        <f t="shared" si="7"/>
        <v>2.4898329962988994E-5</v>
      </c>
      <c r="U30" s="10">
        <f t="shared" si="24"/>
        <v>1.8464550630222217E-4</v>
      </c>
      <c r="V30" s="12">
        <f t="shared" si="8"/>
        <v>53.398952695546271</v>
      </c>
      <c r="W30" s="12">
        <f t="shared" si="9"/>
        <v>1593.4931176312955</v>
      </c>
      <c r="X30" s="12">
        <f t="shared" si="25"/>
        <v>10665.124444016352</v>
      </c>
      <c r="Y30" s="14">
        <f t="shared" si="10"/>
        <v>-720.06756660506937</v>
      </c>
      <c r="Z30" s="14">
        <f t="shared" si="11"/>
        <v>-676.877448616636</v>
      </c>
      <c r="AA30" s="14">
        <f t="shared" si="12"/>
        <v>-355.00382708832672</v>
      </c>
      <c r="AB30" s="16">
        <f t="shared" si="13"/>
        <v>-0.7773011591193616</v>
      </c>
      <c r="AC30" s="16">
        <f t="shared" si="14"/>
        <v>-19.190949768115956</v>
      </c>
      <c r="AD30" s="16">
        <f t="shared" si="15"/>
        <v>-60.182581295208877</v>
      </c>
      <c r="AE30" s="18">
        <f t="shared" si="16"/>
        <v>36056.777282949013</v>
      </c>
      <c r="AF30" s="18">
        <f t="shared" si="17"/>
        <v>35437.365548463094</v>
      </c>
      <c r="AG30" s="18">
        <f t="shared" si="18"/>
        <v>28415.315798432686</v>
      </c>
      <c r="AH30" s="18">
        <f t="shared" si="19"/>
        <v>-14.533894739578194</v>
      </c>
      <c r="AI30" s="18">
        <f t="shared" si="20"/>
        <v>-633.94562922549778</v>
      </c>
      <c r="AJ30" s="18">
        <f t="shared" si="21"/>
        <v>-7655.9953792559081</v>
      </c>
    </row>
    <row r="31" spans="2:36" x14ac:dyDescent="0.4">
      <c r="F31">
        <v>36900</v>
      </c>
      <c r="G31" s="6">
        <f t="shared" si="0"/>
        <v>3.3215807145406124</v>
      </c>
      <c r="H31" s="6">
        <f>(LN($D$13/$F31)+(sigma2^2/2))*(rate2+TimeofExpiration2)/(sigma2*SQRT(TimeofExpiration2))</f>
        <v>2.0774315282200946</v>
      </c>
      <c r="I31" s="6">
        <f>(LN($E$13/$F31)+(sigma2^2/2))*(rate2+TimeofExpiration2)/(sigma2*SQRT(TimeofExpiration2))</f>
        <v>0.76945252133756004</v>
      </c>
      <c r="J31">
        <f t="shared" si="1"/>
        <v>3.2815807145406124</v>
      </c>
      <c r="K31">
        <f t="shared" si="2"/>
        <v>2.0374315282200945</v>
      </c>
      <c r="L31">
        <f t="shared" si="3"/>
        <v>0.72945252133756</v>
      </c>
      <c r="M31" s="8">
        <f t="shared" si="22"/>
        <v>0.99955245455428754</v>
      </c>
      <c r="N31" s="8">
        <f t="shared" si="22"/>
        <v>0.98111912560422243</v>
      </c>
      <c r="O31" s="8">
        <f t="shared" si="22"/>
        <v>0.77918764013471131</v>
      </c>
      <c r="P31" s="8">
        <f t="shared" si="23"/>
        <v>-4.4754544571246058E-4</v>
      </c>
      <c r="Q31" s="8">
        <f t="shared" si="23"/>
        <v>-1.8880874395777569E-2</v>
      </c>
      <c r="R31" s="8">
        <f t="shared" si="23"/>
        <v>-0.22081235986528869</v>
      </c>
      <c r="S31" s="10">
        <f t="shared" si="6"/>
        <v>9.5463494393348193E-7</v>
      </c>
      <c r="T31" s="10">
        <f t="shared" si="7"/>
        <v>2.8816618135092431E-5</v>
      </c>
      <c r="U31" s="10">
        <f t="shared" si="24"/>
        <v>1.9521037430536591E-4</v>
      </c>
      <c r="V31" s="12">
        <f t="shared" si="8"/>
        <v>67.359041643946483</v>
      </c>
      <c r="W31" s="12">
        <f t="shared" si="9"/>
        <v>1844.2635606459157</v>
      </c>
      <c r="X31" s="12">
        <f t="shared" si="25"/>
        <v>11275.351219877935</v>
      </c>
      <c r="Y31" s="14">
        <f t="shared" si="10"/>
        <v>-721.66607500195971</v>
      </c>
      <c r="Z31" s="14">
        <f t="shared" si="11"/>
        <v>-671.45244228404079</v>
      </c>
      <c r="AA31" s="14">
        <f t="shared" si="12"/>
        <v>-329.43001550428903</v>
      </c>
      <c r="AB31" s="16">
        <f t="shared" si="13"/>
        <v>-0.97381576733220321</v>
      </c>
      <c r="AC31" s="16">
        <f t="shared" si="14"/>
        <v>-21.8363638094919</v>
      </c>
      <c r="AD31" s="16">
        <f t="shared" si="15"/>
        <v>-57.057443399020968</v>
      </c>
      <c r="AE31" s="18">
        <f t="shared" si="16"/>
        <v>36150.662791741932</v>
      </c>
      <c r="AF31" s="18">
        <f t="shared" si="17"/>
        <v>35416.885674847945</v>
      </c>
      <c r="AG31" s="18">
        <f t="shared" si="18"/>
        <v>27746.851995092376</v>
      </c>
      <c r="AH31" s="18">
        <f t="shared" si="19"/>
        <v>-18.668253277336319</v>
      </c>
      <c r="AI31" s="18">
        <f t="shared" si="20"/>
        <v>-752.44537017132052</v>
      </c>
      <c r="AJ31" s="18">
        <f t="shared" si="21"/>
        <v>-8422.4790499268856</v>
      </c>
    </row>
    <row r="32" spans="2:36" x14ac:dyDescent="0.4">
      <c r="F32">
        <v>37000</v>
      </c>
      <c r="G32" s="6">
        <f t="shared" ref="G32:G95" si="26">(LN($C$13/$F32)+(sigma2^2/2))*(rate2+TimeofExpiration2)/(sigma2*SQRT(TimeofExpiration2))</f>
        <v>3.2525684937981669</v>
      </c>
      <c r="H32" s="6">
        <f>(LN($D$13/$F32)+(sigma2^2/2))*(rate2+TimeofExpiration2)/(sigma2*SQRT(TimeofExpiration2))</f>
        <v>2.008419307477654</v>
      </c>
      <c r="I32" s="6">
        <f>(LN($E$13/$F32)+(sigma2^2/2))*(rate2+TimeofExpiration2)/(sigma2*SQRT(TimeofExpiration2))</f>
        <v>0.70044030059511242</v>
      </c>
      <c r="J32">
        <f t="shared" si="1"/>
        <v>3.2125684937981669</v>
      </c>
      <c r="K32">
        <f t="shared" si="2"/>
        <v>1.9684193074776539</v>
      </c>
      <c r="L32">
        <f t="shared" si="3"/>
        <v>0.66044030059511238</v>
      </c>
      <c r="M32" s="8">
        <f t="shared" si="22"/>
        <v>0.99942816485748853</v>
      </c>
      <c r="N32" s="8">
        <f t="shared" si="22"/>
        <v>0.97770062355258724</v>
      </c>
      <c r="O32" s="8">
        <f t="shared" si="22"/>
        <v>0.75817381218010405</v>
      </c>
      <c r="P32" s="8">
        <f t="shared" si="23"/>
        <v>-5.7183514251146761E-4</v>
      </c>
      <c r="Q32" s="8">
        <f t="shared" si="23"/>
        <v>-2.2299376447412755E-2</v>
      </c>
      <c r="R32" s="8">
        <f t="shared" si="23"/>
        <v>-0.24182618781989595</v>
      </c>
      <c r="S32" s="10">
        <f t="shared" si="6"/>
        <v>1.1977227540808988E-6</v>
      </c>
      <c r="T32" s="10">
        <f t="shared" si="7"/>
        <v>3.3179727077204943E-5</v>
      </c>
      <c r="U32" s="10">
        <f t="shared" si="24"/>
        <v>2.0536689343635735E-4</v>
      </c>
      <c r="V32" s="12">
        <f t="shared" si="8"/>
        <v>84.511317527948208</v>
      </c>
      <c r="W32" s="12">
        <f t="shared" si="9"/>
        <v>2123.5025329411164</v>
      </c>
      <c r="X32" s="12">
        <f t="shared" si="25"/>
        <v>11861.991764884</v>
      </c>
      <c r="Y32" s="14">
        <f t="shared" si="10"/>
        <v>-723.17968120091041</v>
      </c>
      <c r="Z32" s="14">
        <f t="shared" si="11"/>
        <v>-665.09878028792423</v>
      </c>
      <c r="AA32" s="14">
        <f t="shared" si="12"/>
        <v>-303.51676924095148</v>
      </c>
      <c r="AB32" s="16">
        <f t="shared" si="13"/>
        <v>-1.2131156550293865</v>
      </c>
      <c r="AC32" s="16">
        <f t="shared" si="14"/>
        <v>-24.69186335856995</v>
      </c>
      <c r="AD32" s="16">
        <f t="shared" si="15"/>
        <v>-52.649421589312624</v>
      </c>
      <c r="AE32" s="18">
        <f t="shared" si="16"/>
        <v>36243.495377573468</v>
      </c>
      <c r="AF32" s="18">
        <f t="shared" si="17"/>
        <v>35378.44154733733</v>
      </c>
      <c r="AG32" s="18">
        <f t="shared" si="18"/>
        <v>27037.830226931575</v>
      </c>
      <c r="AH32" s="18">
        <f t="shared" si="19"/>
        <v>-23.85553477647888</v>
      </c>
      <c r="AI32" s="18">
        <f t="shared" si="20"/>
        <v>-888.90936501261899</v>
      </c>
      <c r="AJ32" s="18">
        <f t="shared" si="21"/>
        <v>-9229.5206854183689</v>
      </c>
    </row>
    <row r="33" spans="6:36" x14ac:dyDescent="0.4">
      <c r="F33">
        <v>37100</v>
      </c>
      <c r="G33" s="6">
        <f t="shared" si="26"/>
        <v>3.1837425410844595</v>
      </c>
      <c r="H33" s="6">
        <f>(LN($D$13/$F33)+(sigma2^2/2))*(rate2+TimeofExpiration2)/(sigma2*SQRT(TimeofExpiration2))</f>
        <v>1.9395933547639428</v>
      </c>
      <c r="I33" s="6">
        <f>(LN($E$13/$F33)+(sigma2^2/2))*(rate2+TimeofExpiration2)/(sigma2*SQRT(TimeofExpiration2))</f>
        <v>0.63161434788140813</v>
      </c>
      <c r="J33">
        <f t="shared" si="1"/>
        <v>3.1437425410844595</v>
      </c>
      <c r="K33">
        <f t="shared" si="2"/>
        <v>1.8995933547639428</v>
      </c>
      <c r="L33">
        <f t="shared" si="3"/>
        <v>0.5916143478814081</v>
      </c>
      <c r="M33" s="8">
        <f t="shared" si="22"/>
        <v>0.99927307870594639</v>
      </c>
      <c r="N33" s="8">
        <f t="shared" si="22"/>
        <v>0.97378543544448659</v>
      </c>
      <c r="O33" s="8">
        <f t="shared" si="22"/>
        <v>0.73618054562205726</v>
      </c>
      <c r="P33" s="8">
        <f t="shared" si="23"/>
        <v>-7.2692129405360628E-4</v>
      </c>
      <c r="Q33" s="8">
        <f t="shared" si="23"/>
        <v>-2.6214564555513409E-2</v>
      </c>
      <c r="R33" s="8">
        <f t="shared" si="23"/>
        <v>-0.26381945437794274</v>
      </c>
      <c r="S33" s="10">
        <f t="shared" si="6"/>
        <v>1.4946837834856038E-6</v>
      </c>
      <c r="T33" s="10">
        <f t="shared" si="7"/>
        <v>3.8008199988165594E-5</v>
      </c>
      <c r="U33" s="10">
        <f t="shared" si="24"/>
        <v>2.1500000872185965E-4</v>
      </c>
      <c r="V33" s="12">
        <f t="shared" si="8"/>
        <v>105.46488776274418</v>
      </c>
      <c r="W33" s="12">
        <f t="shared" si="9"/>
        <v>2432.524799242598</v>
      </c>
      <c r="X33" s="12">
        <f t="shared" si="25"/>
        <v>12418.400503774614</v>
      </c>
      <c r="Y33" s="14">
        <f t="shared" si="10"/>
        <v>-724.59153573336164</v>
      </c>
      <c r="Z33" s="14">
        <f t="shared" si="11"/>
        <v>-657.75173892875819</v>
      </c>
      <c r="AA33" s="14">
        <f t="shared" si="12"/>
        <v>-277.43566267289384</v>
      </c>
      <c r="AB33" s="16">
        <f t="shared" si="13"/>
        <v>-1.502715650259012</v>
      </c>
      <c r="AC33" s="16">
        <f t="shared" si="14"/>
        <v>-27.745315304849715</v>
      </c>
      <c r="AD33" s="16">
        <f t="shared" si="15"/>
        <v>-46.86426723026608</v>
      </c>
      <c r="AE33" s="18">
        <f t="shared" si="16"/>
        <v>36335.041674430824</v>
      </c>
      <c r="AF33" s="18">
        <f t="shared" si="17"/>
        <v>35320.111745680508</v>
      </c>
      <c r="AG33" s="18">
        <f t="shared" si="18"/>
        <v>26290.183637419308</v>
      </c>
      <c r="AH33" s="18">
        <f t="shared" si="19"/>
        <v>-30.329105249793589</v>
      </c>
      <c r="AI33" s="18">
        <f t="shared" si="20"/>
        <v>-1045.259034000112</v>
      </c>
      <c r="AJ33" s="18">
        <f t="shared" si="21"/>
        <v>-10075.187142261311</v>
      </c>
    </row>
    <row r="34" spans="6:36" x14ac:dyDescent="0.4">
      <c r="F34">
        <v>37200</v>
      </c>
      <c r="G34" s="6">
        <f t="shared" si="26"/>
        <v>3.115101853608822</v>
      </c>
      <c r="H34" s="6">
        <f>(LN($D$13/$F34)+(sigma2^2/2))*(rate2+TimeofExpiration2)/(sigma2*SQRT(TimeofExpiration2))</f>
        <v>1.8709526672883021</v>
      </c>
      <c r="I34" s="6">
        <f>(LN($E$13/$F34)+(sigma2^2/2))*(rate2+TimeofExpiration2)/(sigma2*SQRT(TimeofExpiration2))</f>
        <v>0.56297366040576435</v>
      </c>
      <c r="J34">
        <f t="shared" si="1"/>
        <v>3.0751018536088219</v>
      </c>
      <c r="K34">
        <f t="shared" si="2"/>
        <v>1.8309526672883021</v>
      </c>
      <c r="L34">
        <f t="shared" si="3"/>
        <v>0.52297366040576432</v>
      </c>
      <c r="M34" s="8">
        <f t="shared" si="22"/>
        <v>0.99908059298380536</v>
      </c>
      <c r="N34" s="8">
        <f t="shared" si="22"/>
        <v>0.96932417902024148</v>
      </c>
      <c r="O34" s="8">
        <f t="shared" si="22"/>
        <v>0.71327359007474489</v>
      </c>
      <c r="P34" s="8">
        <f t="shared" si="23"/>
        <v>-9.1940701619463994E-4</v>
      </c>
      <c r="Q34" s="8">
        <f t="shared" si="23"/>
        <v>-3.0675820979758517E-2</v>
      </c>
      <c r="R34" s="8">
        <f t="shared" si="23"/>
        <v>-0.28672640992525511</v>
      </c>
      <c r="S34" s="10">
        <f t="shared" si="6"/>
        <v>1.8553867653801158E-6</v>
      </c>
      <c r="T34" s="10">
        <f t="shared" si="7"/>
        <v>4.331855975447287E-5</v>
      </c>
      <c r="U34" s="10">
        <f t="shared" si="24"/>
        <v>2.2399791410130724E-4</v>
      </c>
      <c r="V34" s="12">
        <f t="shared" si="8"/>
        <v>130.91609016522096</v>
      </c>
      <c r="W34" s="12">
        <f t="shared" si="9"/>
        <v>2772.3878242862638</v>
      </c>
      <c r="X34" s="12">
        <f t="shared" si="25"/>
        <v>12938.119518491505</v>
      </c>
      <c r="Y34" s="14">
        <f t="shared" si="10"/>
        <v>-725.88218953752448</v>
      </c>
      <c r="Z34" s="14">
        <f t="shared" si="11"/>
        <v>-649.35034711530614</v>
      </c>
      <c r="AA34" s="14">
        <f t="shared" si="12"/>
        <v>-251.36314927984154</v>
      </c>
      <c r="AB34" s="16">
        <f t="shared" si="13"/>
        <v>-1.8510202039074874</v>
      </c>
      <c r="AC34" s="16">
        <f t="shared" si="14"/>
        <v>-30.978047146530702</v>
      </c>
      <c r="AD34" s="16">
        <f t="shared" si="15"/>
        <v>-39.620117079275929</v>
      </c>
      <c r="AE34" s="18">
        <f t="shared" si="16"/>
        <v>36425.025567041448</v>
      </c>
      <c r="AF34" s="18">
        <f t="shared" si="17"/>
        <v>35239.905180051566</v>
      </c>
      <c r="AG34" s="18">
        <f t="shared" si="18"/>
        <v>25506.276982483581</v>
      </c>
      <c r="AH34" s="18">
        <f t="shared" si="19"/>
        <v>-38.365079969846562</v>
      </c>
      <c r="AI34" s="18">
        <f t="shared" si="20"/>
        <v>-1223.4854669597285</v>
      </c>
      <c r="AJ34" s="18">
        <f t="shared" si="21"/>
        <v>-10957.113664527709</v>
      </c>
    </row>
    <row r="35" spans="6:36" x14ac:dyDescent="0.4">
      <c r="F35">
        <v>37300</v>
      </c>
      <c r="G35" s="6">
        <f t="shared" si="26"/>
        <v>3.0466454366567621</v>
      </c>
      <c r="H35" s="6">
        <f>(LN($D$13/$F35)+(sigma2^2/2))*(rate2+TimeofExpiration2)/(sigma2*SQRT(TimeofExpiration2))</f>
        <v>1.8024962503362454</v>
      </c>
      <c r="I35" s="6">
        <f>(LN($E$13/$F35)+(sigma2^2/2))*(rate2+TimeofExpiration2)/(sigma2*SQRT(TimeofExpiration2))</f>
        <v>0.49451724345370601</v>
      </c>
      <c r="J35">
        <f t="shared" si="1"/>
        <v>3.0066454366567621</v>
      </c>
      <c r="K35">
        <f t="shared" si="2"/>
        <v>1.7624962503362454</v>
      </c>
      <c r="L35">
        <f t="shared" si="3"/>
        <v>0.45451724345370603</v>
      </c>
      <c r="M35" s="8">
        <f t="shared" si="22"/>
        <v>0.99884294750209057</v>
      </c>
      <c r="N35" s="8">
        <f t="shared" si="22"/>
        <v>0.96426631794122231</v>
      </c>
      <c r="O35" s="8">
        <f t="shared" si="22"/>
        <v>0.68952953424494223</v>
      </c>
      <c r="P35" s="8">
        <f t="shared" si="23"/>
        <v>-1.1570524979094277E-3</v>
      </c>
      <c r="Q35" s="8">
        <f t="shared" si="23"/>
        <v>-3.5733682058777694E-2</v>
      </c>
      <c r="R35" s="8">
        <f t="shared" si="23"/>
        <v>-0.31047046575505777</v>
      </c>
      <c r="S35" s="10">
        <f t="shared" si="6"/>
        <v>2.2910236903000876E-6</v>
      </c>
      <c r="T35" s="10">
        <f t="shared" si="7"/>
        <v>4.9122478974808324E-5</v>
      </c>
      <c r="U35" s="10">
        <f t="shared" si="24"/>
        <v>2.3225426907033526E-4</v>
      </c>
      <c r="V35" s="12">
        <f t="shared" si="8"/>
        <v>161.65463158757416</v>
      </c>
      <c r="W35" s="12">
        <f t="shared" si="9"/>
        <v>3143.8386543877327</v>
      </c>
      <c r="X35" s="12">
        <f t="shared" si="25"/>
        <v>13415.006581502565</v>
      </c>
      <c r="Y35" s="14">
        <f t="shared" si="10"/>
        <v>-727.02935654161786</v>
      </c>
      <c r="Z35" s="14">
        <f t="shared" si="11"/>
        <v>-639.83884229370688</v>
      </c>
      <c r="AA35" s="14">
        <f t="shared" si="12"/>
        <v>-225.47759094121488</v>
      </c>
      <c r="AB35" s="16">
        <f t="shared" si="13"/>
        <v>-2.2673315182814457</v>
      </c>
      <c r="AC35" s="16">
        <f t="shared" si="14"/>
        <v>-34.364178182376719</v>
      </c>
      <c r="AD35" s="16">
        <f t="shared" si="15"/>
        <v>-30.849643914478094</v>
      </c>
      <c r="AE35" s="18">
        <f t="shared" si="16"/>
        <v>36513.122458668469</v>
      </c>
      <c r="AF35" s="18">
        <f t="shared" si="17"/>
        <v>35135.780769073077</v>
      </c>
      <c r="AG35" s="18">
        <f t="shared" si="18"/>
        <v>24688.886128563314</v>
      </c>
      <c r="AH35" s="18">
        <f t="shared" si="19"/>
        <v>-48.288055673501866</v>
      </c>
      <c r="AI35" s="18">
        <f t="shared" si="20"/>
        <v>-1425.6297452688971</v>
      </c>
      <c r="AJ35" s="18">
        <f t="shared" si="21"/>
        <v>-11872.524385778661</v>
      </c>
    </row>
    <row r="36" spans="6:36" x14ac:dyDescent="0.4">
      <c r="F36">
        <v>37400</v>
      </c>
      <c r="G36" s="6">
        <f t="shared" si="26"/>
        <v>2.9783723035034932</v>
      </c>
      <c r="H36" s="6">
        <f>(LN($D$13/$F36)+(sigma2^2/2))*(rate2+TimeofExpiration2)/(sigma2*SQRT(TimeofExpiration2))</f>
        <v>1.7342231171829776</v>
      </c>
      <c r="I36" s="6">
        <f>(LN($E$13/$F36)+(sigma2^2/2))*(rate2+TimeofExpiration2)/(sigma2*SQRT(TimeofExpiration2))</f>
        <v>0.42624411030043929</v>
      </c>
      <c r="J36">
        <f t="shared" si="1"/>
        <v>2.9383723035034932</v>
      </c>
      <c r="K36">
        <f t="shared" si="2"/>
        <v>1.6942231171829776</v>
      </c>
      <c r="L36">
        <f t="shared" si="3"/>
        <v>0.38624411030043931</v>
      </c>
      <c r="M36" s="8">
        <f t="shared" si="22"/>
        <v>0.99855108123981484</v>
      </c>
      <c r="N36" s="8">
        <f t="shared" si="22"/>
        <v>0.9585607486212756</v>
      </c>
      <c r="O36" s="8">
        <f t="shared" si="22"/>
        <v>0.66503501073859228</v>
      </c>
      <c r="P36" s="8">
        <f t="shared" si="23"/>
        <v>-1.4489187601851583E-3</v>
      </c>
      <c r="Q36" s="8">
        <f t="shared" si="23"/>
        <v>-4.1439251378724395E-2</v>
      </c>
      <c r="R36" s="8">
        <f t="shared" si="23"/>
        <v>-0.33496498926140772</v>
      </c>
      <c r="S36" s="10">
        <f t="shared" si="6"/>
        <v>2.8141834915345113E-6</v>
      </c>
      <c r="T36" s="10">
        <f t="shared" si="7"/>
        <v>5.5425967226979193E-5</v>
      </c>
      <c r="U36" s="10">
        <f t="shared" si="24"/>
        <v>2.3967033864779274E-4</v>
      </c>
      <c r="V36" s="12">
        <f t="shared" si="8"/>
        <v>198.56878716267511</v>
      </c>
      <c r="W36" s="12">
        <f t="shared" si="9"/>
        <v>3547.2619025266681</v>
      </c>
      <c r="X36" s="12">
        <f t="shared" si="25"/>
        <v>13843.358760296509</v>
      </c>
      <c r="Y36" s="14">
        <f t="shared" si="10"/>
        <v>-728.00768864196766</v>
      </c>
      <c r="Z36" s="14">
        <f t="shared" si="11"/>
        <v>-629.16817070567947</v>
      </c>
      <c r="AA36" s="14">
        <f t="shared" si="12"/>
        <v>-199.95621121366173</v>
      </c>
      <c r="AB36" s="16">
        <f t="shared" si="13"/>
        <v>-2.7618324950217632</v>
      </c>
      <c r="AC36" s="16">
        <f t="shared" si="14"/>
        <v>-37.870039173293307</v>
      </c>
      <c r="AD36" s="16">
        <f t="shared" si="15"/>
        <v>-20.501953992069275</v>
      </c>
      <c r="AE36" s="18">
        <f t="shared" si="16"/>
        <v>36598.953219261057</v>
      </c>
      <c r="AF36" s="18">
        <f t="shared" si="17"/>
        <v>35005.670437810644</v>
      </c>
      <c r="AG36" s="18">
        <f t="shared" si="18"/>
        <v>23841.169320979599</v>
      </c>
      <c r="AH36" s="18">
        <f t="shared" si="19"/>
        <v>-60.477162411586932</v>
      </c>
      <c r="AI36" s="18">
        <f t="shared" si="20"/>
        <v>-1653.759943862003</v>
      </c>
      <c r="AJ36" s="18">
        <f t="shared" si="21"/>
        <v>-12818.261060693047</v>
      </c>
    </row>
    <row r="37" spans="6:36" x14ac:dyDescent="0.4">
      <c r="F37">
        <v>37500</v>
      </c>
      <c r="G37" s="6">
        <f t="shared" si="26"/>
        <v>2.9102814753285835</v>
      </c>
      <c r="H37" s="6">
        <f>(LN($D$13/$F37)+(sigma2^2/2))*(rate2+TimeofExpiration2)/(sigma2*SQRT(TimeofExpiration2))</f>
        <v>1.6661322890080648</v>
      </c>
      <c r="I37" s="6">
        <f>(LN($E$13/$F37)+(sigma2^2/2))*(rate2+TimeofExpiration2)/(sigma2*SQRT(TimeofExpiration2))</f>
        <v>0.35815328212552844</v>
      </c>
      <c r="J37">
        <f t="shared" si="1"/>
        <v>2.8702814753285835</v>
      </c>
      <c r="K37">
        <f t="shared" si="2"/>
        <v>1.6261322890080647</v>
      </c>
      <c r="L37">
        <f t="shared" si="3"/>
        <v>0.31815328212552846</v>
      </c>
      <c r="M37" s="8">
        <f t="shared" si="22"/>
        <v>0.99819448307099323</v>
      </c>
      <c r="N37" s="8">
        <f t="shared" si="22"/>
        <v>0.95215646568997503</v>
      </c>
      <c r="O37" s="8">
        <f t="shared" si="22"/>
        <v>0.63988569663037254</v>
      </c>
      <c r="P37" s="8">
        <f t="shared" si="23"/>
        <v>-1.8055169290067674E-3</v>
      </c>
      <c r="Q37" s="8">
        <f t="shared" si="23"/>
        <v>-4.7843534310024971E-2</v>
      </c>
      <c r="R37" s="8">
        <f t="shared" si="23"/>
        <v>-0.36011430336962746</v>
      </c>
      <c r="S37" s="10">
        <f t="shared" si="6"/>
        <v>3.4389074511930717E-6</v>
      </c>
      <c r="T37" s="10">
        <f t="shared" si="7"/>
        <v>6.2228600818548316E-5</v>
      </c>
      <c r="U37" s="10">
        <f t="shared" si="24"/>
        <v>2.4615699518182961E-4</v>
      </c>
      <c r="V37" s="12">
        <f t="shared" si="8"/>
        <v>242.64930975618313</v>
      </c>
      <c r="W37" s="12">
        <f t="shared" si="9"/>
        <v>3982.6304523870926</v>
      </c>
      <c r="X37" s="12">
        <f t="shared" si="25"/>
        <v>14218.028041702479</v>
      </c>
      <c r="Y37" s="14">
        <f t="shared" si="10"/>
        <v>-728.78857166128182</v>
      </c>
      <c r="Z37" s="14">
        <f t="shared" si="11"/>
        <v>-617.29749621219912</v>
      </c>
      <c r="AA37" s="14">
        <f t="shared" si="12"/>
        <v>-174.97205418336614</v>
      </c>
      <c r="AB37" s="16">
        <f t="shared" si="13"/>
        <v>-3.3455390714627296</v>
      </c>
      <c r="AC37" s="16">
        <f t="shared" si="14"/>
        <v>-41.453709327616437</v>
      </c>
      <c r="AD37" s="16">
        <f t="shared" si="15"/>
        <v>-8.5441708713988191</v>
      </c>
      <c r="AE37" s="18">
        <f t="shared" si="16"/>
        <v>36682.077892820271</v>
      </c>
      <c r="AF37" s="18">
        <f t="shared" si="17"/>
        <v>34847.505262997045</v>
      </c>
      <c r="AG37" s="18">
        <f t="shared" si="18"/>
        <v>22966.630750870783</v>
      </c>
      <c r="AH37" s="18">
        <f t="shared" si="19"/>
        <v>-75.372356183046648</v>
      </c>
      <c r="AI37" s="18">
        <f t="shared" si="20"/>
        <v>-1909.9449860062705</v>
      </c>
      <c r="AJ37" s="18">
        <f t="shared" si="21"/>
        <v>-13790.819498132536</v>
      </c>
    </row>
    <row r="38" spans="6:36" x14ac:dyDescent="0.4">
      <c r="F38">
        <v>37600</v>
      </c>
      <c r="G38" s="6">
        <f t="shared" si="26"/>
        <v>2.8423719811317443</v>
      </c>
      <c r="H38" s="6">
        <f>(LN($D$13/$F38)+(sigma2^2/2))*(rate2+TimeofExpiration2)/(sigma2*SQRT(TimeofExpiration2))</f>
        <v>1.5982227948112302</v>
      </c>
      <c r="I38" s="6">
        <f>(LN($E$13/$F38)+(sigma2^2/2))*(rate2+TimeofExpiration2)/(sigma2*SQRT(TimeofExpiration2))</f>
        <v>0.29024378792869376</v>
      </c>
      <c r="J38">
        <f t="shared" si="1"/>
        <v>2.8023719811317442</v>
      </c>
      <c r="K38">
        <f t="shared" si="2"/>
        <v>1.5582227948112302</v>
      </c>
      <c r="L38">
        <f t="shared" si="3"/>
        <v>0.25024378792869378</v>
      </c>
      <c r="M38" s="8">
        <f t="shared" si="22"/>
        <v>0.99776103945337236</v>
      </c>
      <c r="N38" s="8">
        <f t="shared" si="22"/>
        <v>0.9450032987845941</v>
      </c>
      <c r="O38" s="8">
        <f t="shared" si="22"/>
        <v>0.6141851303365049</v>
      </c>
      <c r="P38" s="8">
        <f t="shared" si="23"/>
        <v>-2.2389605466276441E-3</v>
      </c>
      <c r="Q38" s="8">
        <f t="shared" si="23"/>
        <v>-5.4996701215405897E-2</v>
      </c>
      <c r="R38" s="8">
        <f t="shared" si="23"/>
        <v>-0.3858148696634951</v>
      </c>
      <c r="S38" s="10">
        <f t="shared" si="6"/>
        <v>4.1807209711543086E-6</v>
      </c>
      <c r="T38" s="10">
        <f t="shared" si="7"/>
        <v>6.952282150194743E-5</v>
      </c>
      <c r="U38" s="10">
        <f t="shared" si="24"/>
        <v>2.516365243727888E-4</v>
      </c>
      <c r="V38" s="12">
        <f t="shared" si="8"/>
        <v>294.99167172464797</v>
      </c>
      <c r="W38" s="12">
        <f t="shared" si="9"/>
        <v>4449.4605761246357</v>
      </c>
      <c r="X38" s="12">
        <f t="shared" si="25"/>
        <v>14534.525647772283</v>
      </c>
      <c r="Y38" s="14">
        <f t="shared" si="10"/>
        <v>-729.33995188392657</v>
      </c>
      <c r="Z38" s="14">
        <f t="shared" si="11"/>
        <v>-604.19567817380914</v>
      </c>
      <c r="AA38" s="14">
        <f t="shared" si="12"/>
        <v>-150.69103045186995</v>
      </c>
      <c r="AB38" s="16">
        <f t="shared" si="13"/>
        <v>-4.0302164262324949</v>
      </c>
      <c r="AC38" s="16">
        <f t="shared" si="14"/>
        <v>-45.06469889211462</v>
      </c>
      <c r="AD38" s="16">
        <f t="shared" si="15"/>
        <v>5.0373459639186535</v>
      </c>
      <c r="AE38" s="18">
        <f t="shared" si="16"/>
        <v>36761.98926592098</v>
      </c>
      <c r="AF38" s="18">
        <f t="shared" si="17"/>
        <v>34659.244484815099</v>
      </c>
      <c r="AG38" s="18">
        <f t="shared" si="18"/>
        <v>22069.077170365781</v>
      </c>
      <c r="AH38" s="18">
        <f t="shared" si="19"/>
        <v>-93.480850413023219</v>
      </c>
      <c r="AI38" s="18">
        <f t="shared" si="20"/>
        <v>-2196.2256315189047</v>
      </c>
      <c r="AJ38" s="18">
        <f t="shared" si="21"/>
        <v>-14786.392945968219</v>
      </c>
    </row>
    <row r="39" spans="6:36" x14ac:dyDescent="0.4">
      <c r="F39">
        <v>37700</v>
      </c>
      <c r="G39" s="6">
        <f t="shared" si="26"/>
        <v>2.774642857649781</v>
      </c>
      <c r="H39" s="6">
        <f>(LN($D$13/$F39)+(sigma2^2/2))*(rate2+TimeofExpiration2)/(sigma2*SQRT(TimeofExpiration2))</f>
        <v>1.5304936713292687</v>
      </c>
      <c r="I39" s="6">
        <f>(LN($E$13/$F39)+(sigma2^2/2))*(rate2+TimeofExpiration2)/(sigma2*SQRT(TimeofExpiration2))</f>
        <v>0.22251466444672846</v>
      </c>
      <c r="J39">
        <f t="shared" si="1"/>
        <v>2.734642857649781</v>
      </c>
      <c r="K39">
        <f t="shared" si="2"/>
        <v>1.4904936713292687</v>
      </c>
      <c r="L39">
        <f t="shared" si="3"/>
        <v>0.18251466444672845</v>
      </c>
      <c r="M39" s="8">
        <f t="shared" si="22"/>
        <v>0.99723688213420425</v>
      </c>
      <c r="N39" s="8">
        <f t="shared" si="22"/>
        <v>0.93705271060593043</v>
      </c>
      <c r="O39" s="8">
        <f t="shared" si="22"/>
        <v>0.58804337058931588</v>
      </c>
      <c r="P39" s="8">
        <f t="shared" si="23"/>
        <v>-2.76311786579575E-3</v>
      </c>
      <c r="Q39" s="8">
        <f t="shared" si="23"/>
        <v>-6.2947289394069572E-2</v>
      </c>
      <c r="R39" s="8">
        <f t="shared" si="23"/>
        <v>-0.41195662941068412</v>
      </c>
      <c r="S39" s="10">
        <f t="shared" si="6"/>
        <v>5.0566360937301614E-6</v>
      </c>
      <c r="T39" s="10">
        <f t="shared" si="7"/>
        <v>7.7293330994347037E-5</v>
      </c>
      <c r="U39" s="10">
        <f t="shared" si="24"/>
        <v>2.5604418390664233E-4</v>
      </c>
      <c r="V39" s="12">
        <f t="shared" si="8"/>
        <v>356.79624277360017</v>
      </c>
      <c r="W39" s="12">
        <f t="shared" si="9"/>
        <v>4946.7731836382109</v>
      </c>
      <c r="X39" s="12">
        <f t="shared" si="25"/>
        <v>14789.112062447661</v>
      </c>
      <c r="Y39" s="14">
        <f t="shared" si="10"/>
        <v>-729.62620361473898</v>
      </c>
      <c r="Z39" s="14">
        <f t="shared" si="11"/>
        <v>-589.84267623218375</v>
      </c>
      <c r="AA39" s="14">
        <f t="shared" si="12"/>
        <v>-127.26912882813366</v>
      </c>
      <c r="AB39" s="16">
        <f t="shared" si="13"/>
        <v>-4.8282536523896153</v>
      </c>
      <c r="AC39" s="16">
        <f t="shared" si="14"/>
        <v>-48.643803904418753</v>
      </c>
      <c r="AD39" s="16">
        <f t="shared" si="15"/>
        <v>20.236188347253403</v>
      </c>
      <c r="AE39" s="18">
        <f t="shared" si="16"/>
        <v>36838.106423510551</v>
      </c>
      <c r="AF39" s="18">
        <f t="shared" si="17"/>
        <v>34438.906995247395</v>
      </c>
      <c r="AG39" s="18">
        <f t="shared" si="18"/>
        <v>21152.568503854345</v>
      </c>
      <c r="AH39" s="18">
        <f t="shared" si="19"/>
        <v>-115.38356015411941</v>
      </c>
      <c r="AI39" s="18">
        <f t="shared" si="20"/>
        <v>-2514.5829884172731</v>
      </c>
      <c r="AJ39" s="18">
        <f t="shared" si="21"/>
        <v>-15800.921479810329</v>
      </c>
    </row>
    <row r="40" spans="6:36" x14ac:dyDescent="0.4">
      <c r="F40">
        <v>37800</v>
      </c>
      <c r="G40" s="6">
        <f t="shared" si="26"/>
        <v>2.7070931492745718</v>
      </c>
      <c r="H40" s="6">
        <f>(LN($D$13/$F40)+(sigma2^2/2))*(rate2+TimeofExpiration2)/(sigma2*SQRT(TimeofExpiration2))</f>
        <v>1.462943962954053</v>
      </c>
      <c r="I40" s="6">
        <f>(LN($E$13/$F40)+(sigma2^2/2))*(rate2+TimeofExpiration2)/(sigma2*SQRT(TimeofExpiration2))</f>
        <v>0.15496495607151742</v>
      </c>
      <c r="J40">
        <f t="shared" si="1"/>
        <v>2.6670931492745718</v>
      </c>
      <c r="K40">
        <f t="shared" si="2"/>
        <v>1.422943962954053</v>
      </c>
      <c r="L40">
        <f t="shared" si="3"/>
        <v>0.11496495607151741</v>
      </c>
      <c r="M40" s="8">
        <f t="shared" si="22"/>
        <v>0.99660623951601568</v>
      </c>
      <c r="N40" s="8">
        <f t="shared" si="22"/>
        <v>0.92825864348300147</v>
      </c>
      <c r="O40" s="8">
        <f t="shared" si="22"/>
        <v>0.56157552774113584</v>
      </c>
      <c r="P40" s="8">
        <f t="shared" si="23"/>
        <v>-3.3937604839843205E-3</v>
      </c>
      <c r="Q40" s="8">
        <f t="shared" si="23"/>
        <v>-7.1741356516998533E-2</v>
      </c>
      <c r="R40" s="8">
        <f t="shared" si="23"/>
        <v>-0.43842447225886416</v>
      </c>
      <c r="S40" s="10">
        <f t="shared" si="6"/>
        <v>6.0851190633060455E-6</v>
      </c>
      <c r="T40" s="10">
        <f t="shared" si="7"/>
        <v>8.5516607526781946E-5</v>
      </c>
      <c r="U40" s="10">
        <f t="shared" si="24"/>
        <v>2.5932947100803291E-4</v>
      </c>
      <c r="V40" s="12">
        <f t="shared" si="8"/>
        <v>429.36600110687453</v>
      </c>
      <c r="W40" s="12">
        <f t="shared" si="9"/>
        <v>5473.062881714045</v>
      </c>
      <c r="X40" s="12">
        <f t="shared" si="25"/>
        <v>14978.870245423983</v>
      </c>
      <c r="Y40" s="14">
        <f t="shared" si="10"/>
        <v>-729.60804883121182</v>
      </c>
      <c r="Z40" s="14">
        <f t="shared" si="11"/>
        <v>-574.23083849116733</v>
      </c>
      <c r="AA40" s="14">
        <f t="shared" si="12"/>
        <v>-104.84986650869229</v>
      </c>
      <c r="AB40" s="16">
        <f t="shared" si="13"/>
        <v>-5.7524918555798781</v>
      </c>
      <c r="AC40" s="16">
        <f t="shared" si="14"/>
        <v>-52.123156739822115</v>
      </c>
      <c r="AD40" s="16">
        <f t="shared" si="15"/>
        <v>37.025520694255306</v>
      </c>
      <c r="AE40" s="18">
        <f t="shared" si="16"/>
        <v>36909.768442667468</v>
      </c>
      <c r="AF40" s="18">
        <f t="shared" si="17"/>
        <v>34184.604806272408</v>
      </c>
      <c r="AG40" s="18">
        <f t="shared" si="18"/>
        <v>20221.363570858597</v>
      </c>
      <c r="AH40" s="18">
        <f t="shared" si="19"/>
        <v>-141.74140832788066</v>
      </c>
      <c r="AI40" s="18">
        <f t="shared" si="20"/>
        <v>-2866.9050447229392</v>
      </c>
      <c r="AJ40" s="18">
        <f t="shared" si="21"/>
        <v>-16830.146280136749</v>
      </c>
    </row>
    <row r="41" spans="6:36" x14ac:dyDescent="0.4">
      <c r="F41">
        <v>37900</v>
      </c>
      <c r="G41" s="6">
        <f t="shared" si="26"/>
        <v>2.6397219079721865</v>
      </c>
      <c r="H41" s="6">
        <f>(LN($D$13/$F41)+(sigma2^2/2))*(rate2+TimeofExpiration2)/(sigma2*SQRT(TimeofExpiration2))</f>
        <v>1.3955727216516691</v>
      </c>
      <c r="I41" s="6">
        <f>(LN($E$13/$F41)+(sigma2^2/2))*(rate2+TimeofExpiration2)/(sigma2*SQRT(TimeofExpiration2))</f>
        <v>8.7593714769128306E-2</v>
      </c>
      <c r="J41">
        <f t="shared" si="1"/>
        <v>2.5997219079721865</v>
      </c>
      <c r="K41">
        <f t="shared" si="2"/>
        <v>1.3555727216516691</v>
      </c>
      <c r="L41">
        <f t="shared" si="3"/>
        <v>4.7593714769128305E-2</v>
      </c>
      <c r="M41" s="8">
        <f t="shared" si="22"/>
        <v>0.99585129590011201</v>
      </c>
      <c r="N41" s="8">
        <f t="shared" si="22"/>
        <v>0.91857839918007522</v>
      </c>
      <c r="O41" s="8">
        <f t="shared" si="22"/>
        <v>0.53490020106697611</v>
      </c>
      <c r="P41" s="8">
        <f t="shared" si="23"/>
        <v>-4.1487040998879898E-3</v>
      </c>
      <c r="Q41" s="8">
        <f t="shared" si="23"/>
        <v>-8.1421600819924778E-2</v>
      </c>
      <c r="R41" s="8">
        <f t="shared" si="23"/>
        <v>-0.46509979893302389</v>
      </c>
      <c r="S41" s="10">
        <f t="shared" si="6"/>
        <v>7.2860173265786173E-6</v>
      </c>
      <c r="T41" s="10">
        <f t="shared" si="7"/>
        <v>9.4160568998413375E-5</v>
      </c>
      <c r="U41" s="10">
        <f t="shared" si="24"/>
        <v>2.6145706469710058E-4</v>
      </c>
      <c r="V41" s="12">
        <f t="shared" si="8"/>
        <v>514.10138256338712</v>
      </c>
      <c r="W41" s="12">
        <f t="shared" si="9"/>
        <v>6026.2764158984564</v>
      </c>
      <c r="X41" s="12">
        <f t="shared" si="25"/>
        <v>15101.76005690453</v>
      </c>
      <c r="Y41" s="14">
        <f t="shared" si="10"/>
        <v>-729.24254033038187</v>
      </c>
      <c r="Z41" s="14">
        <f t="shared" si="11"/>
        <v>-557.36602970726324</v>
      </c>
      <c r="AA41" s="14">
        <f t="shared" si="12"/>
        <v>-83.562042204841475</v>
      </c>
      <c r="AB41" s="16">
        <f t="shared" si="13"/>
        <v>-6.8160012663968432</v>
      </c>
      <c r="AC41" s="16">
        <f t="shared" si="14"/>
        <v>-55.426491976681049</v>
      </c>
      <c r="AD41" s="16">
        <f t="shared" si="15"/>
        <v>55.358149885497824</v>
      </c>
      <c r="AE41" s="18">
        <f t="shared" si="16"/>
        <v>36976.22839908248</v>
      </c>
      <c r="AF41" s="18">
        <f t="shared" si="17"/>
        <v>33894.577901261626</v>
      </c>
      <c r="AG41" s="18">
        <f t="shared" si="18"/>
        <v>19279.862167146606</v>
      </c>
      <c r="AH41" s="18">
        <f t="shared" si="19"/>
        <v>-173.30131924354501</v>
      </c>
      <c r="AI41" s="18">
        <f t="shared" si="20"/>
        <v>-3254.9518170644037</v>
      </c>
      <c r="AJ41" s="18">
        <f t="shared" si="21"/>
        <v>-17869.667551179424</v>
      </c>
    </row>
    <row r="42" spans="6:36" x14ac:dyDescent="0.4">
      <c r="F42">
        <v>38000</v>
      </c>
      <c r="G42" s="6">
        <f t="shared" si="26"/>
        <v>2.5725281932030568</v>
      </c>
      <c r="H42" s="6">
        <f>(LN($D$13/$F42)+(sigma2^2/2))*(rate2+TimeofExpiration2)/(sigma2*SQRT(TimeofExpiration2))</f>
        <v>1.3283790068825372</v>
      </c>
      <c r="I42" s="6">
        <f>(LN($E$13/$F42)+(sigma2^2/2))*(rate2+TimeofExpiration2)/(sigma2*SQRT(TimeofExpiration2))</f>
        <v>2.0400000000000001E-2</v>
      </c>
      <c r="J42">
        <f t="shared" si="1"/>
        <v>2.5325281932030568</v>
      </c>
      <c r="K42">
        <f t="shared" si="2"/>
        <v>1.2883790068825371</v>
      </c>
      <c r="L42">
        <f t="shared" si="3"/>
        <v>-1.9599999999999999E-2</v>
      </c>
      <c r="M42" s="8">
        <f t="shared" si="22"/>
        <v>0.99495206336347297</v>
      </c>
      <c r="N42" s="8">
        <f t="shared" si="22"/>
        <v>0.90797353445443574</v>
      </c>
      <c r="O42" s="8">
        <f t="shared" si="22"/>
        <v>0.50813785807443868</v>
      </c>
      <c r="P42" s="8">
        <f t="shared" si="23"/>
        <v>-5.0479366365270284E-3</v>
      </c>
      <c r="Q42" s="8">
        <f t="shared" si="23"/>
        <v>-9.2026465545564262E-2</v>
      </c>
      <c r="R42" s="8">
        <f t="shared" si="23"/>
        <v>-0.49186214192556132</v>
      </c>
      <c r="S42" s="10">
        <f t="shared" si="6"/>
        <v>8.6804407058783407E-6</v>
      </c>
      <c r="T42" s="10">
        <f t="shared" si="7"/>
        <v>1.0318440461627334E-4</v>
      </c>
      <c r="U42" s="10">
        <f t="shared" si="24"/>
        <v>2.6240741916295184E-4</v>
      </c>
      <c r="V42" s="12">
        <f t="shared" si="8"/>
        <v>612.49189620677566</v>
      </c>
      <c r="W42" s="12">
        <f t="shared" si="9"/>
        <v>6603.8018954414938</v>
      </c>
      <c r="X42" s="12">
        <f t="shared" si="25"/>
        <v>15156.6525308521</v>
      </c>
      <c r="Y42" s="14">
        <f t="shared" si="10"/>
        <v>-728.48311974842807</v>
      </c>
      <c r="Z42" s="14">
        <f t="shared" si="11"/>
        <v>-539.26855777269168</v>
      </c>
      <c r="AA42" s="14">
        <f t="shared" si="12"/>
        <v>-63.517846202115209</v>
      </c>
      <c r="AB42" s="16">
        <f t="shared" si="13"/>
        <v>-8.0318038835650221</v>
      </c>
      <c r="AC42" s="16">
        <f t="shared" si="14"/>
        <v>-58.469641877217384</v>
      </c>
      <c r="AD42" s="16">
        <f t="shared" si="15"/>
        <v>75.16704427693486</v>
      </c>
      <c r="AE42" s="18">
        <f t="shared" si="16"/>
        <v>37036.647883628175</v>
      </c>
      <c r="AF42" s="18">
        <f t="shared" si="17"/>
        <v>33567.229784076073</v>
      </c>
      <c r="AG42" s="18">
        <f t="shared" si="18"/>
        <v>18332.544840957857</v>
      </c>
      <c r="AH42" s="18">
        <f t="shared" si="19"/>
        <v>-210.90170202852454</v>
      </c>
      <c r="AI42" s="18">
        <f t="shared" si="20"/>
        <v>-3680.3198015806242</v>
      </c>
      <c r="AJ42" s="18">
        <f t="shared" si="21"/>
        <v>-18915.004744698839</v>
      </c>
    </row>
    <row r="43" spans="6:36" x14ac:dyDescent="0.4">
      <c r="F43">
        <v>38100</v>
      </c>
      <c r="G43" s="6">
        <f t="shared" si="26"/>
        <v>2.5055110718431828</v>
      </c>
      <c r="H43" s="6">
        <f>(LN($D$13/$F43)+(sigma2^2/2))*(rate2+TimeofExpiration2)/(sigma2*SQRT(TimeofExpiration2))</f>
        <v>1.2613618855226658</v>
      </c>
      <c r="I43" s="6">
        <f>(LN($E$13/$F43)+(sigma2^2/2))*(rate2+TimeofExpiration2)/(sigma2*SQRT(TimeofExpiration2))</f>
        <v>-4.6617121359871463E-2</v>
      </c>
      <c r="J43">
        <f t="shared" si="1"/>
        <v>2.4655110718431827</v>
      </c>
      <c r="K43">
        <f t="shared" si="2"/>
        <v>1.2213618855226658</v>
      </c>
      <c r="L43">
        <f t="shared" si="3"/>
        <v>-8.6617121359871457E-2</v>
      </c>
      <c r="M43" s="8">
        <f t="shared" si="22"/>
        <v>0.99388627149922193</v>
      </c>
      <c r="N43" s="8">
        <f t="shared" si="22"/>
        <v>0.8964107530389438</v>
      </c>
      <c r="O43" s="8">
        <f t="shared" si="22"/>
        <v>0.48140919299666057</v>
      </c>
      <c r="P43" s="8">
        <f t="shared" si="23"/>
        <v>-6.1137285007780706E-3</v>
      </c>
      <c r="Q43" s="8">
        <f t="shared" si="23"/>
        <v>-0.1035892469610562</v>
      </c>
      <c r="R43" s="8">
        <f t="shared" si="23"/>
        <v>-0.51859080700333937</v>
      </c>
      <c r="S43" s="10">
        <f t="shared" si="6"/>
        <v>1.0290592072268433E-5</v>
      </c>
      <c r="T43" s="10">
        <f t="shared" si="7"/>
        <v>1.1253859319148827E-4</v>
      </c>
      <c r="U43" s="10">
        <f t="shared" si="24"/>
        <v>2.6217699599748737E-4</v>
      </c>
      <c r="V43" s="12">
        <f t="shared" si="8"/>
        <v>726.10417661926056</v>
      </c>
      <c r="W43" s="12">
        <f t="shared" si="9"/>
        <v>7202.4699642552496</v>
      </c>
      <c r="X43" s="12">
        <f t="shared" si="25"/>
        <v>15143.343288814871</v>
      </c>
      <c r="Y43" s="14">
        <f t="shared" si="10"/>
        <v>-727.27976139575571</v>
      </c>
      <c r="Z43" s="14">
        <f t="shared" si="11"/>
        <v>-519.97386004878547</v>
      </c>
      <c r="AA43" s="14">
        <f t="shared" si="12"/>
        <v>-44.811369181147029</v>
      </c>
      <c r="AB43" s="16">
        <f t="shared" si="13"/>
        <v>-9.4125394007785399</v>
      </c>
      <c r="AC43" s="16">
        <f t="shared" si="14"/>
        <v>-61.16126955924797</v>
      </c>
      <c r="AD43" s="16">
        <f t="shared" si="15"/>
        <v>96.366288326005758</v>
      </c>
      <c r="AE43" s="18">
        <f t="shared" si="16"/>
        <v>37090.092246407039</v>
      </c>
      <c r="AF43" s="18">
        <f t="shared" si="17"/>
        <v>33201.162966694523</v>
      </c>
      <c r="AG43" s="18">
        <f t="shared" si="18"/>
        <v>17383.911747872222</v>
      </c>
      <c r="AH43" s="18">
        <f t="shared" si="19"/>
        <v>-255.47720658033356</v>
      </c>
      <c r="AI43" s="18">
        <f t="shared" si="20"/>
        <v>-4144.4064862928499</v>
      </c>
      <c r="AJ43" s="18">
        <f t="shared" si="21"/>
        <v>-19961.657705115154</v>
      </c>
    </row>
    <row r="44" spans="6:36" x14ac:dyDescent="0.4">
      <c r="F44">
        <v>38200</v>
      </c>
      <c r="G44" s="6">
        <f t="shared" si="26"/>
        <v>2.4386696181063878</v>
      </c>
      <c r="H44" s="6">
        <f>(LN($D$13/$F44)+(sigma2^2/2))*(rate2+TimeofExpiration2)/(sigma2*SQRT(TimeofExpiration2))</f>
        <v>1.1945204317858733</v>
      </c>
      <c r="I44" s="6">
        <f>(LN($E$13/$F44)+(sigma2^2/2))*(rate2+TimeofExpiration2)/(sigma2*SQRT(TimeofExpiration2))</f>
        <v>-0.11345857509666378</v>
      </c>
      <c r="J44">
        <f t="shared" ref="J44:J75" si="27">$G44-sigma2*SQRT(TimeofExpiration2)</f>
        <v>2.3986696181063878</v>
      </c>
      <c r="K44">
        <f t="shared" ref="K44:K75" si="28">$H44-sigma2*SQRT(TimeofExpiration2)</f>
        <v>1.1545204317858733</v>
      </c>
      <c r="L44">
        <f t="shared" ref="L44:L107" si="29">$I44-sigma2*SQRT(TimeofExpiration2)</f>
        <v>-0.15345857509666377</v>
      </c>
      <c r="M44" s="8">
        <f t="shared" si="22"/>
        <v>0.99262928063374523</v>
      </c>
      <c r="N44" s="8">
        <f t="shared" si="22"/>
        <v>0.88386277337494878</v>
      </c>
      <c r="O44" s="8">
        <f t="shared" si="22"/>
        <v>0.45483350162021902</v>
      </c>
      <c r="P44" s="8">
        <f t="shared" si="23"/>
        <v>-7.3707193662547743E-3</v>
      </c>
      <c r="Q44" s="8">
        <f t="shared" si="23"/>
        <v>-0.11613722662505122</v>
      </c>
      <c r="R44" s="8">
        <f t="shared" si="23"/>
        <v>-0.54516649837978104</v>
      </c>
      <c r="S44" s="10">
        <f t="shared" ref="S44:S75" si="30">(1/(Stock*sigma2*SQRT(TimeofExpiration2)))*_xlfn.NORM.S.DIST($G44,FALSE)</f>
        <v>1.2139543709598688E-5</v>
      </c>
      <c r="T44" s="10">
        <f t="shared" ref="T44:T75" si="31">(1/($D$13*sigma2*SQRT(TimeofExpiration2)))*_xlfn.NORM.S.DIST($H44,FALSE)</f>
        <v>1.221651216219199E-4</v>
      </c>
      <c r="U44" s="10">
        <f t="shared" ref="U44:U75" si="32">(1/($E$13*sigma2*SQRT(TimeofExpiration2)))*_xlfn.NORM.S.DIST($I44,FALSE)</f>
        <v>2.6077813459321226E-4</v>
      </c>
      <c r="V44" s="12">
        <f t="shared" ref="V44:V75" si="33">Stock*SQRT(TimeofExpiration2)*_xlfn.NORM.S.DIST(G44,FALSE)</f>
        <v>856.56620414928329</v>
      </c>
      <c r="W44" s="12">
        <f t="shared" ref="W44:W75" si="34">$D$13*SQRT(TimeofExpiration2)*_xlfn.NORM.S.DIST($H44,FALSE)</f>
        <v>7818.5677838028732</v>
      </c>
      <c r="X44" s="12">
        <f t="shared" ref="X44:X75" si="35">$E$13*SQRT(TimeofExpiration2)*_xlfn.NORM.S.DIST($I44,FALSE)</f>
        <v>15062.545054103941</v>
      </c>
      <c r="Y44" s="14">
        <f t="shared" ref="Y44:Y75" si="36">(Stock*sigma2*_xlfn.NORM.S.DIST($G44,FALSE)/2*SQRT(TimeofExpiration2))-rate2*$F44*EXP(-rate2*TimeofExpiration2)*_xlfn.NORM.S.DIST($J44,TRUE)</f>
        <v>-725.57921195588449</v>
      </c>
      <c r="Z44" s="14">
        <f t="shared" ref="Z44:Z75" si="37">($D$13*sigma2*_xlfn.NORM.S.DIST($H44,FALSE)/2*SQRT(TimeofExpiration2))-rate2*$F44*EXP(-rate2*TimeofExpiration2)*_xlfn.NORM.S.DIST($K44,TRUE)</f>
        <v>-499.53291595406489</v>
      </c>
      <c r="AA44" s="14">
        <f t="shared" ref="AA44:AA75" si="38">($E$13*sigma2*_xlfn.NORM.S.DIST($I44,FALSE)/2*SQRT(TimeofExpiration2))-rate2*$F44*EXP(-rate2*TimeofExpiration2)*_xlfn.NORM.S.DIST($L44,TRUE)</f>
        <v>-27.517538320348535</v>
      </c>
      <c r="AB44" s="16">
        <f t="shared" ref="AB44:AB75" si="39">-(Stock*sigma2*_xlfn.NORM.S.DIST($G44,FALSE)/2*SQRT(TimeofExpiration2))+rate2*$F44*EXP(-rate2*TimeofExpiration2)*_xlfn.NORM.S.DIST(-$J44,TRUE)</f>
        <v>-10.970073715494745</v>
      </c>
      <c r="AC44" s="16">
        <f t="shared" ref="AC44:AC75" si="40">-($D$13*sigma2*_xlfn.NORM.S.DIST($H44,FALSE)/2*SQRT(TimeofExpiration2))+rate2*$F44*EXP(-rate2*TimeofExpiration2)*_xlfn.NORM.S.DIST(-$K44,TRUE)</f>
        <v>-63.403840899818832</v>
      </c>
      <c r="AD44" s="16">
        <f t="shared" ref="AD44:AD75" si="41">-($E$13*sigma2*_xlfn.NORM.S.DIST($I44,FALSE)/2*SQRT(TimeofExpiration2))+rate2*$F44*EXP(-rate2*TimeofExpiration2)*_xlfn.NORM.S.DIST(-$L44,TRUE)</f>
        <v>118.85244592185489</v>
      </c>
      <c r="AE44" s="18">
        <f t="shared" ref="AE44:AE75" si="42">$F44*TimeofExpiration2*EXP(-rate2*TimeofExpiration2)*_xlfn.NORM.S.DIST($J44,TRUE)</f>
        <v>37135.52680194351</v>
      </c>
      <c r="AF44" s="18">
        <f t="shared" ref="AF44:AF75" si="43">$F44*TimeofExpiration2*EXP(-rate2*TimeofExpiration2)*_xlfn.NORM.S.DIST($K44,TRUE)</f>
        <v>32795.213581506119</v>
      </c>
      <c r="AG44" s="18">
        <f t="shared" ref="AG44:AG75" si="44">$F44*TimeofExpiration2*EXP(-rate2*TimeofExpiration2)*_xlfn.NORM.S.DIST($L44,TRUE)</f>
        <v>16438.42197012137</v>
      </c>
      <c r="AH44" s="18">
        <f t="shared" ref="AH44:AH75" si="45">-$F44*TimeofExpiration2*EXP(-rate2*TimeofExpiration2)*_xlfn.NORM.S.DIST(-$J44,TRUE)</f>
        <v>-308.06251837454607</v>
      </c>
      <c r="AI44" s="18">
        <f t="shared" ref="AI44:AI75" si="46">-$F44*TimeofExpiration2*EXP(-rate2*TimeofExpiration2)*_xlfn.NORM.S.DIST(-$K44,TRUE)</f>
        <v>-4648.375738811932</v>
      </c>
      <c r="AJ44" s="18">
        <f t="shared" ref="AJ44:AJ107" si="47">-$F44*TimeofExpiration2*EXP(-rate2*TimeofExpiration2)*_xlfn.NORM.S.DIST(-$L44,TRUE)</f>
        <v>-21005.167350196687</v>
      </c>
    </row>
    <row r="45" spans="6:36" x14ac:dyDescent="0.4">
      <c r="F45">
        <v>38300</v>
      </c>
      <c r="G45" s="6">
        <f t="shared" si="26"/>
        <v>2.3720029134675822</v>
      </c>
      <c r="H45" s="6">
        <f>(LN($D$13/$F45)+(sigma2^2/2))*(rate2+TimeofExpiration2)/(sigma2*SQRT(TimeofExpiration2))</f>
        <v>1.1278537271470708</v>
      </c>
      <c r="I45" s="6">
        <f>(LN($E$13/$F45)+(sigma2^2/2))*(rate2+TimeofExpiration2)/(sigma2*SQRT(TimeofExpiration2))</f>
        <v>-0.18012527973547168</v>
      </c>
      <c r="J45">
        <f t="shared" si="27"/>
        <v>2.3320029134675822</v>
      </c>
      <c r="K45">
        <f t="shared" si="28"/>
        <v>1.0878537271470707</v>
      </c>
      <c r="L45">
        <f t="shared" si="29"/>
        <v>-0.22012527973547169</v>
      </c>
      <c r="M45" s="8">
        <f t="shared" si="22"/>
        <v>0.99115402439599209</v>
      </c>
      <c r="N45" s="8">
        <f t="shared" si="22"/>
        <v>0.8703091506400561</v>
      </c>
      <c r="O45" s="8">
        <f t="shared" si="22"/>
        <v>0.42852710841332486</v>
      </c>
      <c r="P45" s="8">
        <f t="shared" si="23"/>
        <v>-8.8459756040079052E-3</v>
      </c>
      <c r="Q45" s="8">
        <f t="shared" si="23"/>
        <v>-0.1296908493599439</v>
      </c>
      <c r="R45" s="8">
        <f t="shared" si="23"/>
        <v>-0.57147289158667514</v>
      </c>
      <c r="S45" s="10">
        <f t="shared" si="30"/>
        <v>1.4250956704414377E-5</v>
      </c>
      <c r="T45" s="10">
        <f t="shared" si="31"/>
        <v>1.319979116478976E-4</v>
      </c>
      <c r="U45" s="10">
        <f t="shared" si="32"/>
        <v>2.5823857132673857E-4</v>
      </c>
      <c r="V45" s="12">
        <f t="shared" si="33"/>
        <v>1005.5475050634783</v>
      </c>
      <c r="W45" s="12">
        <f t="shared" si="34"/>
        <v>8447.8663454654452</v>
      </c>
      <c r="X45" s="12">
        <f t="shared" si="35"/>
        <v>14915.85987983242</v>
      </c>
      <c r="Y45" s="14">
        <f t="shared" si="36"/>
        <v>-723.32533470895555</v>
      </c>
      <c r="Z45" s="14">
        <f t="shared" si="37"/>
        <v>-478.0123585290379</v>
      </c>
      <c r="AA45" s="14">
        <f t="shared" si="38"/>
        <v>-11.691495303044746</v>
      </c>
      <c r="AB45" s="16">
        <f t="shared" si="39"/>
        <v>-12.715051158520129</v>
      </c>
      <c r="AC45" s="16">
        <f t="shared" si="40"/>
        <v>-65.094828594681175</v>
      </c>
      <c r="AD45" s="16">
        <f t="shared" si="41"/>
        <v>142.50629325663294</v>
      </c>
      <c r="AE45" s="18">
        <f t="shared" si="42"/>
        <v>37171.814240511252</v>
      </c>
      <c r="AF45" s="18">
        <f t="shared" si="43"/>
        <v>32348.484271917339</v>
      </c>
      <c r="AG45" s="18">
        <f t="shared" si="44"/>
        <v>15500.43464498466</v>
      </c>
      <c r="AH45" s="18">
        <f t="shared" si="45"/>
        <v>-369.79494713747187</v>
      </c>
      <c r="AI45" s="18">
        <f t="shared" si="46"/>
        <v>-5193.124915731386</v>
      </c>
      <c r="AJ45" s="18">
        <f t="shared" si="47"/>
        <v>-22041.17454266407</v>
      </c>
    </row>
    <row r="46" spans="6:36" x14ac:dyDescent="0.4">
      <c r="F46">
        <v>38400</v>
      </c>
      <c r="G46" s="6">
        <f t="shared" si="26"/>
        <v>2.3055100465870217</v>
      </c>
      <c r="H46" s="6">
        <f>(LN($D$13/$F46)+(sigma2^2/2))*(rate2+TimeofExpiration2)/(sigma2*SQRT(TimeofExpiration2))</f>
        <v>1.0613608602665077</v>
      </c>
      <c r="I46" s="6">
        <f>(LN($E$13/$F46)+(sigma2^2/2))*(rate2+TimeofExpiration2)/(sigma2*SQRT(TimeofExpiration2))</f>
        <v>-0.24661814661603182</v>
      </c>
      <c r="J46">
        <f t="shared" si="27"/>
        <v>2.2655100465870217</v>
      </c>
      <c r="K46">
        <f t="shared" si="28"/>
        <v>1.0213608602665076</v>
      </c>
      <c r="L46">
        <f t="shared" si="29"/>
        <v>-0.2866181466160318</v>
      </c>
      <c r="M46" s="8">
        <f t="shared" si="22"/>
        <v>0.98943098762827508</v>
      </c>
      <c r="N46" s="8">
        <f t="shared" si="22"/>
        <v>0.85573703146467384</v>
      </c>
      <c r="O46" s="8">
        <f t="shared" si="22"/>
        <v>0.40260187964514327</v>
      </c>
      <c r="P46" s="8">
        <f t="shared" si="23"/>
        <v>-1.0569012371724917E-2</v>
      </c>
      <c r="Q46" s="8">
        <f t="shared" si="23"/>
        <v>-0.14426296853532616</v>
      </c>
      <c r="R46" s="8">
        <f t="shared" si="23"/>
        <v>-0.59739812035485673</v>
      </c>
      <c r="S46" s="10">
        <f t="shared" si="30"/>
        <v>1.6648742114693496E-5</v>
      </c>
      <c r="T46" s="10">
        <f t="shared" si="31"/>
        <v>1.4196345689593861E-4</v>
      </c>
      <c r="U46" s="10">
        <f t="shared" si="32"/>
        <v>2.5460062878023763E-4</v>
      </c>
      <c r="V46" s="12">
        <f t="shared" si="33"/>
        <v>1174.735243612773</v>
      </c>
      <c r="W46" s="12">
        <f t="shared" si="34"/>
        <v>9085.6612413400726</v>
      </c>
      <c r="X46" s="12">
        <f t="shared" si="35"/>
        <v>14705.732318346525</v>
      </c>
      <c r="Y46" s="14">
        <f t="shared" si="36"/>
        <v>-720.4595650434992</v>
      </c>
      <c r="Z46" s="14">
        <f t="shared" si="37"/>
        <v>-455.49426531682792</v>
      </c>
      <c r="AA46" s="14">
        <f t="shared" si="38"/>
        <v>2.6315830663779138</v>
      </c>
      <c r="AB46" s="16">
        <f t="shared" si="39"/>
        <v>-14.656393688422177</v>
      </c>
      <c r="AC46" s="16">
        <f t="shared" si="40"/>
        <v>-66.12813387084276</v>
      </c>
      <c r="AD46" s="16">
        <f t="shared" si="41"/>
        <v>167.19487143210495</v>
      </c>
      <c r="AE46" s="18">
        <f t="shared" si="42"/>
        <v>37197.713495787735</v>
      </c>
      <c r="AF46" s="18">
        <f t="shared" si="43"/>
        <v>31860.374507181466</v>
      </c>
      <c r="AG46" s="18">
        <f t="shared" si="44"/>
        <v>14574.15316502763</v>
      </c>
      <c r="AH46" s="18">
        <f t="shared" si="45"/>
        <v>-441.91555919166404</v>
      </c>
      <c r="AI46" s="18">
        <f t="shared" si="46"/>
        <v>-5779.2545477979329</v>
      </c>
      <c r="AJ46" s="18">
        <f t="shared" si="47"/>
        <v>-23065.475889951773</v>
      </c>
    </row>
    <row r="47" spans="6:36" x14ac:dyDescent="0.4">
      <c r="F47">
        <v>38500</v>
      </c>
      <c r="G47" s="6">
        <f t="shared" si="26"/>
        <v>2.2391901132355572</v>
      </c>
      <c r="H47" s="6">
        <f>(LN($D$13/$F47)+(sigma2^2/2))*(rate2+TimeofExpiration2)/(sigma2*SQRT(TimeofExpiration2))</f>
        <v>0.99504092691504065</v>
      </c>
      <c r="I47" s="6">
        <f>(LN($E$13/$F47)+(sigma2^2/2))*(rate2+TimeofExpiration2)/(sigma2*SQRT(TimeofExpiration2))</f>
        <v>-0.31293807996749573</v>
      </c>
      <c r="J47">
        <f t="shared" si="27"/>
        <v>2.1991901132355571</v>
      </c>
      <c r="K47">
        <f t="shared" si="28"/>
        <v>0.95504092691504061</v>
      </c>
      <c r="L47">
        <f t="shared" si="29"/>
        <v>-0.35293807996749571</v>
      </c>
      <c r="M47" s="8">
        <f t="shared" si="22"/>
        <v>0.9874282255668162</v>
      </c>
      <c r="N47" s="8">
        <f t="shared" si="22"/>
        <v>0.84014182025230699</v>
      </c>
      <c r="O47" s="8">
        <f t="shared" si="22"/>
        <v>0.37716385293984833</v>
      </c>
      <c r="P47" s="8">
        <f t="shared" si="23"/>
        <v>-1.2571774433183802E-2</v>
      </c>
      <c r="Q47" s="8">
        <f t="shared" si="23"/>
        <v>-0.15985817974769301</v>
      </c>
      <c r="R47" s="8">
        <f t="shared" si="23"/>
        <v>-0.62283614706015167</v>
      </c>
      <c r="S47" s="10">
        <f t="shared" si="30"/>
        <v>1.935666434465103E-5</v>
      </c>
      <c r="T47" s="10">
        <f t="shared" si="31"/>
        <v>1.519816657360869E-4</v>
      </c>
      <c r="U47" s="10">
        <f t="shared" si="32"/>
        <v>2.4992010579642841E-4</v>
      </c>
      <c r="V47" s="12">
        <f t="shared" si="33"/>
        <v>1365.8062361585767</v>
      </c>
      <c r="W47" s="12">
        <f t="shared" si="34"/>
        <v>9726.8266071095604</v>
      </c>
      <c r="X47" s="12">
        <f t="shared" si="35"/>
        <v>14435.385310801705</v>
      </c>
      <c r="Y47" s="14">
        <f t="shared" si="36"/>
        <v>-716.92148161697787</v>
      </c>
      <c r="Z47" s="14">
        <f t="shared" si="37"/>
        <v>-432.0756175784</v>
      </c>
      <c r="AA47" s="14">
        <f t="shared" si="38"/>
        <v>15.436234325157216</v>
      </c>
      <c r="AB47" s="16">
        <f t="shared" si="39"/>
        <v>-16.800752617119443</v>
      </c>
      <c r="AC47" s="16">
        <f t="shared" si="40"/>
        <v>-66.395703416580915</v>
      </c>
      <c r="AD47" s="16">
        <f t="shared" si="41"/>
        <v>192.77380033929046</v>
      </c>
      <c r="AE47" s="18">
        <f t="shared" si="42"/>
        <v>37211.880317007475</v>
      </c>
      <c r="AF47" s="18">
        <f t="shared" si="43"/>
        <v>31330.607486029563</v>
      </c>
      <c r="AG47" s="18">
        <f t="shared" si="44"/>
        <v>13663.573594543846</v>
      </c>
      <c r="AH47" s="18">
        <f t="shared" si="45"/>
        <v>-525.76860530260433</v>
      </c>
      <c r="AI47" s="18">
        <f t="shared" si="46"/>
        <v>-6407.0414362805159</v>
      </c>
      <c r="AJ47" s="18">
        <f t="shared" si="47"/>
        <v>-24074.075327766233</v>
      </c>
    </row>
    <row r="48" spans="6:36" x14ac:dyDescent="0.4">
      <c r="F48">
        <v>38600</v>
      </c>
      <c r="G48" s="6">
        <f t="shared" si="26"/>
        <v>2.1730422162208716</v>
      </c>
      <c r="H48" s="6">
        <f>(LN($D$13/$F48)+(sigma2^2/2))*(rate2+TimeofExpiration2)/(sigma2*SQRT(TimeofExpiration2))</f>
        <v>0.9288930299003515</v>
      </c>
      <c r="I48" s="6">
        <f>(LN($E$13/$F48)+(sigma2^2/2))*(rate2+TimeofExpiration2)/(sigma2*SQRT(TimeofExpiration2))</f>
        <v>-0.37908597698218632</v>
      </c>
      <c r="J48">
        <f t="shared" si="27"/>
        <v>2.1330422162208715</v>
      </c>
      <c r="K48">
        <f t="shared" si="28"/>
        <v>0.88889302990035146</v>
      </c>
      <c r="L48">
        <f t="shared" si="29"/>
        <v>-0.4190859769821863</v>
      </c>
      <c r="M48" s="8">
        <f t="shared" si="22"/>
        <v>0.98511142996161816</v>
      </c>
      <c r="N48" s="8">
        <f t="shared" si="22"/>
        <v>0.82352773722715633</v>
      </c>
      <c r="O48" s="8">
        <f t="shared" si="22"/>
        <v>0.35231200963875148</v>
      </c>
      <c r="P48" s="8">
        <f t="shared" si="23"/>
        <v>-1.4888570038381843E-2</v>
      </c>
      <c r="Q48" s="8">
        <f t="shared" si="23"/>
        <v>-0.17647226277284367</v>
      </c>
      <c r="R48" s="8">
        <f t="shared" si="23"/>
        <v>-0.64768799036124847</v>
      </c>
      <c r="S48" s="10">
        <f t="shared" si="30"/>
        <v>2.2397889050947166E-5</v>
      </c>
      <c r="T48" s="10">
        <f t="shared" si="31"/>
        <v>1.6196689881191578E-4</v>
      </c>
      <c r="U48" s="10">
        <f t="shared" si="32"/>
        <v>2.4426490728253952E-4</v>
      </c>
      <c r="V48" s="12">
        <f t="shared" si="33"/>
        <v>1580.3950514348319</v>
      </c>
      <c r="W48" s="12">
        <f t="shared" si="34"/>
        <v>10365.881523962609</v>
      </c>
      <c r="X48" s="12">
        <f t="shared" si="35"/>
        <v>14108.741044639482</v>
      </c>
      <c r="Y48" s="14">
        <f t="shared" si="36"/>
        <v>-712.64949464312758</v>
      </c>
      <c r="Z48" s="14">
        <f t="shared" si="37"/>
        <v>-407.86742630964682</v>
      </c>
      <c r="AA48" s="14">
        <f t="shared" si="38"/>
        <v>26.726054949588303</v>
      </c>
      <c r="AB48" s="16">
        <f t="shared" si="39"/>
        <v>-19.151920907705794</v>
      </c>
      <c r="AC48" s="16">
        <f t="shared" si="40"/>
        <v>-65.789311475336177</v>
      </c>
      <c r="AD48" s="16">
        <f t="shared" si="41"/>
        <v>219.08978895682412</v>
      </c>
      <c r="AE48" s="18">
        <f t="shared" si="42"/>
        <v>37212.86978359121</v>
      </c>
      <c r="AF48" s="18">
        <f t="shared" si="43"/>
        <v>30759.252839444951</v>
      </c>
      <c r="AG48" s="18">
        <f t="shared" si="44"/>
        <v>12772.438297160066</v>
      </c>
      <c r="AH48" s="18">
        <f t="shared" si="45"/>
        <v>-622.79900604954207</v>
      </c>
      <c r="AI48" s="18">
        <f t="shared" si="46"/>
        <v>-7076.4159501958011</v>
      </c>
      <c r="AJ48" s="18">
        <f t="shared" si="47"/>
        <v>-25063.230492480689</v>
      </c>
    </row>
    <row r="49" spans="6:36" x14ac:dyDescent="0.4">
      <c r="F49">
        <v>38700</v>
      </c>
      <c r="G49" s="6">
        <f t="shared" si="26"/>
        <v>2.1070654653146188</v>
      </c>
      <c r="H49" s="6">
        <f>(LN($D$13/$F49)+(sigma2^2/2))*(rate2+TimeofExpiration2)/(sigma2*SQRT(TimeofExpiration2))</f>
        <v>0.8629162789941025</v>
      </c>
      <c r="I49" s="6">
        <f>(LN($E$13/$F49)+(sigma2^2/2))*(rate2+TimeofExpiration2)/(sigma2*SQRT(TimeofExpiration2))</f>
        <v>-0.44506272788843387</v>
      </c>
      <c r="J49">
        <f t="shared" si="27"/>
        <v>2.0670654653146188</v>
      </c>
      <c r="K49">
        <f t="shared" si="28"/>
        <v>0.82291627899410247</v>
      </c>
      <c r="L49">
        <f t="shared" si="29"/>
        <v>-0.48506272788843385</v>
      </c>
      <c r="M49" s="8">
        <f t="shared" si="22"/>
        <v>0.98244404733123325</v>
      </c>
      <c r="N49" s="8">
        <f t="shared" si="22"/>
        <v>0.80590825021796986</v>
      </c>
      <c r="O49" s="8">
        <f t="shared" si="22"/>
        <v>0.32813721162593523</v>
      </c>
      <c r="P49" s="8">
        <f t="shared" si="23"/>
        <v>-1.755595266876675E-2</v>
      </c>
      <c r="Q49" s="8">
        <f t="shared" si="23"/>
        <v>-0.19409174978203014</v>
      </c>
      <c r="R49" s="8">
        <f t="shared" si="23"/>
        <v>-0.67186278837406477</v>
      </c>
      <c r="S49" s="10">
        <f t="shared" si="30"/>
        <v>2.5794479980748405E-5</v>
      </c>
      <c r="T49" s="10">
        <f t="shared" si="31"/>
        <v>1.7182918351673796E-4</v>
      </c>
      <c r="U49" s="10">
        <f t="shared" si="32"/>
        <v>2.3771345911556725E-4</v>
      </c>
      <c r="V49" s="12">
        <f t="shared" si="33"/>
        <v>1820.0585074416074</v>
      </c>
      <c r="W49" s="12">
        <f t="shared" si="34"/>
        <v>10997.06774507123</v>
      </c>
      <c r="X49" s="12">
        <f t="shared" si="35"/>
        <v>13730.329398515165</v>
      </c>
      <c r="Y49" s="14">
        <f t="shared" si="36"/>
        <v>-707.5816494733516</v>
      </c>
      <c r="Z49" s="14">
        <f t="shared" si="37"/>
        <v>-382.99353340681341</v>
      </c>
      <c r="AA49" s="14">
        <f t="shared" si="38"/>
        <v>36.522676057446432</v>
      </c>
      <c r="AB49" s="16">
        <f t="shared" si="39"/>
        <v>-21.710216631587315</v>
      </c>
      <c r="AC49" s="16">
        <f t="shared" si="40"/>
        <v>-64.202470070234</v>
      </c>
      <c r="AD49" s="16">
        <f t="shared" si="41"/>
        <v>245.98327325626832</v>
      </c>
      <c r="AE49" s="18">
        <f t="shared" si="42"/>
        <v>37199.140981109187</v>
      </c>
      <c r="AF49" s="18">
        <f t="shared" si="43"/>
        <v>30146.744415411897</v>
      </c>
      <c r="AG49" s="18">
        <f t="shared" si="44"/>
        <v>11904.195595642843</v>
      </c>
      <c r="AH49" s="18">
        <f t="shared" si="45"/>
        <v>-734.5476758622417</v>
      </c>
      <c r="AI49" s="18">
        <f t="shared" si="46"/>
        <v>-7786.9442415595286</v>
      </c>
      <c r="AJ49" s="18">
        <f t="shared" si="47"/>
        <v>-26029.493061328583</v>
      </c>
    </row>
    <row r="50" spans="6:36" x14ac:dyDescent="0.4">
      <c r="F50">
        <v>38800</v>
      </c>
      <c r="G50" s="6">
        <f t="shared" si="26"/>
        <v>2.0412589771805822</v>
      </c>
      <c r="H50" s="6">
        <f>(LN($D$13/$F50)+(sigma2^2/2))*(rate2+TimeofExpiration2)/(sigma2*SQRT(TimeofExpiration2))</f>
        <v>0.79710979086006506</v>
      </c>
      <c r="I50" s="6">
        <f>(LN($E$13/$F50)+(sigma2^2/2))*(rate2+TimeofExpiration2)/(sigma2*SQRT(TimeofExpiration2))</f>
        <v>-0.51086921602247171</v>
      </c>
      <c r="J50">
        <f t="shared" si="27"/>
        <v>2.0012589771805822</v>
      </c>
      <c r="K50">
        <f t="shared" si="28"/>
        <v>0.75710979086006502</v>
      </c>
      <c r="L50">
        <f t="shared" si="29"/>
        <v>-0.55086921602247174</v>
      </c>
      <c r="M50" s="8">
        <f t="shared" si="22"/>
        <v>0.97938745384733417</v>
      </c>
      <c r="N50" s="8">
        <f t="shared" si="22"/>
        <v>0.7873063647110714</v>
      </c>
      <c r="O50" s="8">
        <f t="shared" si="22"/>
        <v>0.30472131910033018</v>
      </c>
      <c r="P50" s="8">
        <f t="shared" si="23"/>
        <v>-2.0612546152665834E-2</v>
      </c>
      <c r="Q50" s="8">
        <f t="shared" si="23"/>
        <v>-0.2126936352889286</v>
      </c>
      <c r="R50" s="8">
        <f t="shared" si="23"/>
        <v>-0.69527868089966982</v>
      </c>
      <c r="S50" s="10">
        <f t="shared" si="30"/>
        <v>2.9566851333391083E-5</v>
      </c>
      <c r="T50" s="10">
        <f t="shared" si="31"/>
        <v>1.8147558145015908E-4</v>
      </c>
      <c r="U50" s="10">
        <f t="shared" si="32"/>
        <v>2.3035295808101095E-4</v>
      </c>
      <c r="V50" s="12">
        <f t="shared" si="33"/>
        <v>2086.2370300840748</v>
      </c>
      <c r="W50" s="12">
        <f t="shared" si="34"/>
        <v>11614.43721281018</v>
      </c>
      <c r="X50" s="12">
        <f t="shared" si="35"/>
        <v>13305.186858759193</v>
      </c>
      <c r="Y50" s="14">
        <f t="shared" si="36"/>
        <v>-701.65653997648838</v>
      </c>
      <c r="Z50" s="14">
        <f t="shared" si="37"/>
        <v>-357.58910626848649</v>
      </c>
      <c r="AA50" s="14">
        <f t="shared" si="38"/>
        <v>44.864415302046268</v>
      </c>
      <c r="AB50" s="16">
        <f t="shared" si="39"/>
        <v>-24.471850693809181</v>
      </c>
      <c r="AC50" s="16">
        <f t="shared" si="40"/>
        <v>-61.532424294851609</v>
      </c>
      <c r="AD50" s="16">
        <f t="shared" si="41"/>
        <v>273.2911114377207</v>
      </c>
      <c r="AE50" s="18">
        <f t="shared" si="42"/>
        <v>37169.064028908491</v>
      </c>
      <c r="AF50" s="18">
        <f t="shared" si="43"/>
        <v>29493.892526234504</v>
      </c>
      <c r="AG50" s="18">
        <f t="shared" si="44"/>
        <v>11061.96609365688</v>
      </c>
      <c r="AH50" s="18">
        <f t="shared" si="45"/>
        <v>-862.64449539361578</v>
      </c>
      <c r="AI50" s="18">
        <f t="shared" si="46"/>
        <v>-8537.815998067601</v>
      </c>
      <c r="AJ50" s="18">
        <f t="shared" si="47"/>
        <v>-26969.742430645227</v>
      </c>
    </row>
    <row r="51" spans="6:36" x14ac:dyDescent="0.4">
      <c r="F51">
        <v>38900</v>
      </c>
      <c r="G51" s="6">
        <f t="shared" si="26"/>
        <v>1.9756218753036763</v>
      </c>
      <c r="H51" s="6">
        <f>(LN($D$13/$F51)+(sigma2^2/2))*(rate2+TimeofExpiration2)/(sigma2*SQRT(TimeofExpiration2))</f>
        <v>0.73147268898315887</v>
      </c>
      <c r="I51" s="6">
        <f>(LN($E$13/$F51)+(sigma2^2/2))*(rate2+TimeofExpiration2)/(sigma2*SQRT(TimeofExpiration2))</f>
        <v>-0.57650631789937856</v>
      </c>
      <c r="J51">
        <f t="shared" si="27"/>
        <v>1.9356218753036762</v>
      </c>
      <c r="K51">
        <f t="shared" si="28"/>
        <v>0.69147268898315883</v>
      </c>
      <c r="L51">
        <f t="shared" si="29"/>
        <v>-0.6165063178993786</v>
      </c>
      <c r="M51" s="8">
        <f t="shared" si="22"/>
        <v>0.97590119041301704</v>
      </c>
      <c r="N51" s="8">
        <f t="shared" si="22"/>
        <v>0.76775475980316077</v>
      </c>
      <c r="O51" s="8">
        <f t="shared" si="22"/>
        <v>0.2821365003507047</v>
      </c>
      <c r="P51" s="8">
        <f t="shared" si="23"/>
        <v>-2.4098809586982961E-2</v>
      </c>
      <c r="Q51" s="8">
        <f t="shared" si="23"/>
        <v>-0.23224524019683923</v>
      </c>
      <c r="R51" s="8">
        <f t="shared" si="23"/>
        <v>-0.7178634996492953</v>
      </c>
      <c r="S51" s="10">
        <f t="shared" si="30"/>
        <v>3.3733184471424725E-5</v>
      </c>
      <c r="T51" s="10">
        <f t="shared" si="31"/>
        <v>1.9081167925471263E-4</v>
      </c>
      <c r="U51" s="10">
        <f t="shared" si="32"/>
        <v>2.222775094151457E-4</v>
      </c>
      <c r="V51" s="12">
        <f t="shared" si="33"/>
        <v>2380.2134963037283</v>
      </c>
      <c r="W51" s="12">
        <f t="shared" si="34"/>
        <v>12211.947472301608</v>
      </c>
      <c r="X51" s="12">
        <f t="shared" si="35"/>
        <v>12838.748943818815</v>
      </c>
      <c r="Y51" s="14">
        <f t="shared" si="36"/>
        <v>-694.81432230648409</v>
      </c>
      <c r="Z51" s="14">
        <f t="shared" si="37"/>
        <v>-331.79885374523917</v>
      </c>
      <c r="AA51" s="14">
        <f t="shared" si="38"/>
        <v>51.804657115874193</v>
      </c>
      <c r="AB51" s="16">
        <f t="shared" si="39"/>
        <v>-27.428294325977699</v>
      </c>
      <c r="AC51" s="16">
        <f t="shared" si="40"/>
        <v>-57.682184804647989</v>
      </c>
      <c r="AD51" s="16">
        <f t="shared" si="41"/>
        <v>300.84926719577714</v>
      </c>
      <c r="AE51" s="18">
        <f t="shared" si="42"/>
        <v>37120.929611627937</v>
      </c>
      <c r="AF51" s="18">
        <f t="shared" si="43"/>
        <v>28801.890159563569</v>
      </c>
      <c r="AG51" s="18">
        <f t="shared" si="44"/>
        <v>10248.516088025108</v>
      </c>
      <c r="AH51" s="18">
        <f t="shared" si="45"/>
        <v>-1008.7987800048436</v>
      </c>
      <c r="AI51" s="18">
        <f t="shared" si="46"/>
        <v>-9327.8382320692072</v>
      </c>
      <c r="AJ51" s="18">
        <f t="shared" si="47"/>
        <v>-27881.212303607674</v>
      </c>
    </row>
    <row r="52" spans="6:36" x14ac:dyDescent="0.4">
      <c r="F52">
        <v>39000</v>
      </c>
      <c r="G52" s="6">
        <f t="shared" si="26"/>
        <v>1.9101532899199067</v>
      </c>
      <c r="H52" s="6">
        <f>(LN($D$13/$F52)+(sigma2^2/2))*(rate2+TimeofExpiration2)/(sigma2*SQRT(TimeofExpiration2))</f>
        <v>0.66600410359938955</v>
      </c>
      <c r="I52" s="6">
        <f>(LN($E$13/$F52)+(sigma2^2/2))*(rate2+TimeofExpiration2)/(sigma2*SQRT(TimeofExpiration2))</f>
        <v>-0.64197490328314732</v>
      </c>
      <c r="J52">
        <f t="shared" si="27"/>
        <v>1.8701532899199067</v>
      </c>
      <c r="K52">
        <f t="shared" si="28"/>
        <v>0.62600410359938952</v>
      </c>
      <c r="L52">
        <f t="shared" si="29"/>
        <v>-0.68197490328314736</v>
      </c>
      <c r="M52" s="8">
        <f t="shared" si="22"/>
        <v>0.97194326034267831</v>
      </c>
      <c r="N52" s="8">
        <f t="shared" si="22"/>
        <v>0.74729576126650288</v>
      </c>
      <c r="O52" s="8">
        <f t="shared" si="22"/>
        <v>0.26044473910930954</v>
      </c>
      <c r="P52" s="8">
        <f t="shared" si="23"/>
        <v>-2.8056739657321694E-2</v>
      </c>
      <c r="Q52" s="8">
        <f t="shared" si="23"/>
        <v>-0.25270423873349712</v>
      </c>
      <c r="R52" s="8">
        <f t="shared" si="23"/>
        <v>-0.73955526089069046</v>
      </c>
      <c r="S52" s="10">
        <f t="shared" si="30"/>
        <v>3.8308819999445942E-5</v>
      </c>
      <c r="T52" s="10">
        <f t="shared" si="31"/>
        <v>1.9974316844305053E-4</v>
      </c>
      <c r="U52" s="10">
        <f t="shared" si="32"/>
        <v>2.1358620521987911E-4</v>
      </c>
      <c r="V52" s="12">
        <f t="shared" si="33"/>
        <v>2703.0703391609059</v>
      </c>
      <c r="W52" s="12">
        <f t="shared" si="34"/>
        <v>12783.562780355232</v>
      </c>
      <c r="X52" s="12">
        <f t="shared" si="35"/>
        <v>12336.739213500217</v>
      </c>
      <c r="Y52" s="14">
        <f t="shared" si="36"/>
        <v>-686.9978156034847</v>
      </c>
      <c r="Z52" s="14">
        <f t="shared" si="37"/>
        <v>-305.7750002752756</v>
      </c>
      <c r="AA52" s="14">
        <f t="shared" si="38"/>
        <v>57.410018342760765</v>
      </c>
      <c r="AB52" s="16">
        <f t="shared" si="39"/>
        <v>-30.565663990651817</v>
      </c>
      <c r="AC52" s="16">
        <f t="shared" si="40"/>
        <v>-52.562546310215879</v>
      </c>
      <c r="AD52" s="16">
        <f t="shared" si="41"/>
        <v>328.49541498202115</v>
      </c>
      <c r="AE52" s="18">
        <f t="shared" si="42"/>
        <v>37052.961119335137</v>
      </c>
      <c r="AF52" s="18">
        <f t="shared" si="43"/>
        <v>28072.312794119011</v>
      </c>
      <c r="AG52" s="18">
        <f t="shared" si="44"/>
        <v>9466.2382963621785</v>
      </c>
      <c r="AH52" s="18">
        <f t="shared" si="45"/>
        <v>-1174.7871396283147</v>
      </c>
      <c r="AI52" s="18">
        <f t="shared" si="46"/>
        <v>-10155.435464844439</v>
      </c>
      <c r="AJ52" s="18">
        <f t="shared" si="47"/>
        <v>-28761.509962601274</v>
      </c>
    </row>
    <row r="53" spans="6:36" x14ac:dyDescent="0.4">
      <c r="F53">
        <v>39100</v>
      </c>
      <c r="G53" s="6">
        <f t="shared" si="26"/>
        <v>1.8448523579472305</v>
      </c>
      <c r="H53" s="6">
        <f>(LN($D$13/$F53)+(sigma2^2/2))*(rate2+TimeofExpiration2)/(sigma2*SQRT(TimeofExpiration2))</f>
        <v>0.60070317162671505</v>
      </c>
      <c r="I53" s="6">
        <f>(LN($E$13/$F53)+(sigma2^2/2))*(rate2+TimeofExpiration2)/(sigma2*SQRT(TimeofExpiration2))</f>
        <v>-0.70727583525582616</v>
      </c>
      <c r="J53">
        <f t="shared" si="27"/>
        <v>1.8048523579472304</v>
      </c>
      <c r="K53">
        <f t="shared" si="28"/>
        <v>0.56070317162671501</v>
      </c>
      <c r="L53">
        <f t="shared" si="29"/>
        <v>-0.74727583525582619</v>
      </c>
      <c r="M53" s="8">
        <f t="shared" si="22"/>
        <v>0.96747049068478141</v>
      </c>
      <c r="N53" s="8">
        <f t="shared" si="22"/>
        <v>0.72598114689474558</v>
      </c>
      <c r="O53" s="8">
        <f t="shared" si="22"/>
        <v>0.23969753971513069</v>
      </c>
      <c r="P53" s="8">
        <f t="shared" si="23"/>
        <v>-3.2529509315218585E-2</v>
      </c>
      <c r="Q53" s="8">
        <f t="shared" si="23"/>
        <v>-0.27401885310525442</v>
      </c>
      <c r="R53" s="8">
        <f t="shared" si="23"/>
        <v>-0.76030246028486936</v>
      </c>
      <c r="S53" s="10">
        <f t="shared" si="30"/>
        <v>4.3305638288685666E-5</v>
      </c>
      <c r="T53" s="10">
        <f t="shared" si="31"/>
        <v>2.0817747609161094E-4</v>
      </c>
      <c r="U53" s="10">
        <f t="shared" si="32"/>
        <v>2.0438119586496981E-4</v>
      </c>
      <c r="V53" s="12">
        <f t="shared" si="33"/>
        <v>3055.6458376496603</v>
      </c>
      <c r="W53" s="12">
        <f t="shared" si="34"/>
        <v>13323.3584698631</v>
      </c>
      <c r="X53" s="12">
        <f t="shared" si="35"/>
        <v>11805.057873160657</v>
      </c>
      <c r="Y53" s="14">
        <f t="shared" si="36"/>
        <v>-678.15367214176081</v>
      </c>
      <c r="Z53" s="14">
        <f t="shared" si="37"/>
        <v>-279.67506292146805</v>
      </c>
      <c r="AA53" s="14">
        <f t="shared" si="38"/>
        <v>61.758358945344355</v>
      </c>
      <c r="AB53" s="16">
        <f t="shared" si="39"/>
        <v>-33.864143121864714</v>
      </c>
      <c r="AC53" s="16">
        <f t="shared" si="40"/>
        <v>-46.094039190109527</v>
      </c>
      <c r="AD53" s="16">
        <f t="shared" si="41"/>
        <v>356.0714065448006</v>
      </c>
      <c r="AE53" s="18">
        <f t="shared" si="42"/>
        <v>36963.329444737712</v>
      </c>
      <c r="AF53" s="18">
        <f t="shared" si="43"/>
        <v>27307.111615936508</v>
      </c>
      <c r="AG53" s="18">
        <f t="shared" si="44"/>
        <v>8717.1399258934398</v>
      </c>
      <c r="AH53" s="18">
        <f t="shared" si="45"/>
        <v>-1362.4386815564246</v>
      </c>
      <c r="AI53" s="18">
        <f t="shared" si="46"/>
        <v>-11018.656510357627</v>
      </c>
      <c r="AJ53" s="18">
        <f t="shared" si="47"/>
        <v>-29608.62820040069</v>
      </c>
    </row>
    <row r="54" spans="6:36" x14ac:dyDescent="0.4">
      <c r="F54">
        <v>39200</v>
      </c>
      <c r="G54" s="6">
        <f t="shared" si="26"/>
        <v>1.7797182229172612</v>
      </c>
      <c r="H54" s="6">
        <f>(LN($D$13/$F54)+(sigma2^2/2))*(rate2+TimeofExpiration2)/(sigma2*SQRT(TimeofExpiration2))</f>
        <v>0.53556903659674648</v>
      </c>
      <c r="I54" s="6">
        <f>(LN($E$13/$F54)+(sigma2^2/2))*(rate2+TimeofExpiration2)/(sigma2*SQRT(TimeofExpiration2))</f>
        <v>-0.77240997028579361</v>
      </c>
      <c r="J54">
        <f t="shared" si="27"/>
        <v>1.7397182229172612</v>
      </c>
      <c r="K54">
        <f t="shared" si="28"/>
        <v>0.4955690365967465</v>
      </c>
      <c r="L54">
        <f t="shared" si="29"/>
        <v>-0.81240997028579365</v>
      </c>
      <c r="M54" s="8">
        <f t="shared" si="22"/>
        <v>0.96243895667649593</v>
      </c>
      <c r="N54" s="8">
        <f t="shared" si="22"/>
        <v>0.70387178349908675</v>
      </c>
      <c r="O54" s="8">
        <f t="shared" si="22"/>
        <v>0.21993582528175906</v>
      </c>
      <c r="P54" s="8">
        <f t="shared" si="23"/>
        <v>-3.7561043323504073E-2</v>
      </c>
      <c r="Q54" s="8">
        <f t="shared" si="23"/>
        <v>-0.29612821650091325</v>
      </c>
      <c r="R54" s="8">
        <f t="shared" si="23"/>
        <v>-0.78006417471824097</v>
      </c>
      <c r="S54" s="10">
        <f t="shared" si="30"/>
        <v>4.8731443355975994E-5</v>
      </c>
      <c r="T54" s="10">
        <f t="shared" si="31"/>
        <v>2.1602540576525452E-4</v>
      </c>
      <c r="U54" s="10">
        <f t="shared" si="32"/>
        <v>1.9476580364356213E-4</v>
      </c>
      <c r="V54" s="12">
        <f t="shared" si="33"/>
        <v>3438.4906431976656</v>
      </c>
      <c r="W54" s="12">
        <f t="shared" si="34"/>
        <v>13825.62596897629</v>
      </c>
      <c r="X54" s="12">
        <f t="shared" si="35"/>
        <v>11249.672818452149</v>
      </c>
      <c r="Y54" s="14">
        <f t="shared" si="36"/>
        <v>-668.23359557295282</v>
      </c>
      <c r="Z54" s="14">
        <f t="shared" si="37"/>
        <v>-253.65948253660088</v>
      </c>
      <c r="AA54" s="14">
        <f t="shared" si="38"/>
        <v>64.936697943133936</v>
      </c>
      <c r="AB54" s="16">
        <f t="shared" si="39"/>
        <v>-37.297461428363363</v>
      </c>
      <c r="AC54" s="16">
        <f t="shared" si="40"/>
        <v>-38.208761423156318</v>
      </c>
      <c r="AD54" s="16">
        <f t="shared" si="41"/>
        <v>383.42554507754414</v>
      </c>
      <c r="AE54" s="18">
        <f t="shared" si="42"/>
        <v>36850.170421845309</v>
      </c>
      <c r="AF54" s="18">
        <f t="shared" si="43"/>
        <v>26508.600095806334</v>
      </c>
      <c r="AG54" s="18">
        <f t="shared" si="44"/>
        <v>8002.8379212954533</v>
      </c>
      <c r="AH54" s="18">
        <f t="shared" si="45"/>
        <v>-1573.6175717794977</v>
      </c>
      <c r="AI54" s="18">
        <f t="shared" si="46"/>
        <v>-11915.187897818472</v>
      </c>
      <c r="AJ54" s="18">
        <f t="shared" si="47"/>
        <v>-30420.950072329353</v>
      </c>
    </row>
    <row r="55" spans="6:36" x14ac:dyDescent="0.4">
      <c r="F55">
        <v>39300</v>
      </c>
      <c r="G55" s="6">
        <f t="shared" si="26"/>
        <v>1.7147500349078952</v>
      </c>
      <c r="H55" s="6">
        <f>(LN($D$13/$F55)+(sigma2^2/2))*(rate2+TimeofExpiration2)/(sigma2*SQRT(TimeofExpiration2))</f>
        <v>0.47060084858737894</v>
      </c>
      <c r="I55" s="6">
        <f>(LN($E$13/$F55)+(sigma2^2/2))*(rate2+TimeofExpiration2)/(sigma2*SQRT(TimeofExpiration2))</f>
        <v>-0.83737815829515982</v>
      </c>
      <c r="J55">
        <f t="shared" si="27"/>
        <v>1.6747500349078952</v>
      </c>
      <c r="K55">
        <f t="shared" si="28"/>
        <v>0.43060084858737896</v>
      </c>
      <c r="L55">
        <f t="shared" si="29"/>
        <v>-0.87737815829515986</v>
      </c>
      <c r="M55" s="8">
        <f t="shared" si="22"/>
        <v>0.95680446711554668</v>
      </c>
      <c r="N55" s="8">
        <f t="shared" si="22"/>
        <v>0.68103709923261513</v>
      </c>
      <c r="O55" s="8">
        <f t="shared" si="22"/>
        <v>0.20119001948778592</v>
      </c>
      <c r="P55" s="8">
        <f t="shared" si="23"/>
        <v>-4.3195532884453325E-2</v>
      </c>
      <c r="Q55" s="8">
        <f t="shared" si="23"/>
        <v>-0.31896290076738487</v>
      </c>
      <c r="R55" s="8">
        <f t="shared" si="23"/>
        <v>-0.79880998051221408</v>
      </c>
      <c r="S55" s="10">
        <f t="shared" si="30"/>
        <v>5.458936651185437E-5</v>
      </c>
      <c r="T55" s="10">
        <f t="shared" si="31"/>
        <v>2.2320274686765348E-4</v>
      </c>
      <c r="U55" s="10">
        <f t="shared" si="32"/>
        <v>1.8484272362310721E-4</v>
      </c>
      <c r="V55" s="12">
        <f t="shared" si="33"/>
        <v>3851.8257010764441</v>
      </c>
      <c r="W55" s="12">
        <f t="shared" si="34"/>
        <v>14284.975799529822</v>
      </c>
      <c r="X55" s="12">
        <f t="shared" si="35"/>
        <v>10676.515716470672</v>
      </c>
      <c r="Y55" s="14">
        <f t="shared" si="36"/>
        <v>-657.19558237851504</v>
      </c>
      <c r="Z55" s="14">
        <f t="shared" si="37"/>
        <v>-227.88916516845899</v>
      </c>
      <c r="AA55" s="14">
        <f t="shared" si="38"/>
        <v>67.03909316687799</v>
      </c>
      <c r="AB55" s="16">
        <f t="shared" si="39"/>
        <v>-40.832453202463157</v>
      </c>
      <c r="AC55" s="16">
        <f t="shared" si="40"/>
        <v>-28.852039930542219</v>
      </c>
      <c r="AD55" s="16">
        <f t="shared" si="41"/>
        <v>410.41462172716075</v>
      </c>
      <c r="AE55" s="18">
        <f t="shared" si="42"/>
        <v>36711.604820002191</v>
      </c>
      <c r="AF55" s="18">
        <f t="shared" si="43"/>
        <v>25679.434057952771</v>
      </c>
      <c r="AG55" s="18">
        <f t="shared" si="44"/>
        <v>7324.5610581267729</v>
      </c>
      <c r="AH55" s="18">
        <f t="shared" si="45"/>
        <v>-1810.2030409532865</v>
      </c>
      <c r="AI55" s="18">
        <f t="shared" si="46"/>
        <v>-12842.373803002711</v>
      </c>
      <c r="AJ55" s="18">
        <f t="shared" si="47"/>
        <v>-31197.246802828708</v>
      </c>
    </row>
    <row r="56" spans="6:36" x14ac:dyDescent="0.4">
      <c r="F56">
        <v>39400</v>
      </c>
      <c r="G56" s="6">
        <f t="shared" si="26"/>
        <v>1.6499469504767463</v>
      </c>
      <c r="H56" s="6">
        <f>(LN($D$13/$F56)+(sigma2^2/2))*(rate2+TimeofExpiration2)/(sigma2*SQRT(TimeofExpiration2))</f>
        <v>0.40579776415622665</v>
      </c>
      <c r="I56" s="6">
        <f>(LN($E$13/$F56)+(sigma2^2/2))*(rate2+TimeofExpiration2)/(sigma2*SQRT(TimeofExpiration2))</f>
        <v>-0.90218124272631006</v>
      </c>
      <c r="J56">
        <f t="shared" si="27"/>
        <v>1.6099469504767463</v>
      </c>
      <c r="K56">
        <f t="shared" si="28"/>
        <v>0.36579776415622667</v>
      </c>
      <c r="L56">
        <f t="shared" si="29"/>
        <v>-0.9421812427263101</v>
      </c>
      <c r="M56" s="8">
        <f t="shared" si="22"/>
        <v>0.95052310662341943</v>
      </c>
      <c r="N56" s="8">
        <f t="shared" si="22"/>
        <v>0.65755439918980352</v>
      </c>
      <c r="O56" s="8">
        <f t="shared" si="22"/>
        <v>0.1834802986113454</v>
      </c>
      <c r="P56" s="8">
        <f t="shared" si="23"/>
        <v>-4.9476893376580566E-2</v>
      </c>
      <c r="Q56" s="8">
        <f t="shared" si="23"/>
        <v>-0.34244560081019648</v>
      </c>
      <c r="R56" s="8">
        <f t="shared" si="23"/>
        <v>-0.8165197013886546</v>
      </c>
      <c r="S56" s="10">
        <f t="shared" si="30"/>
        <v>6.0877307283278907E-5</v>
      </c>
      <c r="T56" s="10">
        <f t="shared" si="31"/>
        <v>2.2963181084724199E-4</v>
      </c>
      <c r="U56" s="10">
        <f t="shared" si="32"/>
        <v>1.7471235110040232E-4</v>
      </c>
      <c r="V56" s="12">
        <f t="shared" si="33"/>
        <v>4295.5028019081592</v>
      </c>
      <c r="W56" s="12">
        <f t="shared" si="34"/>
        <v>14696.435894223487</v>
      </c>
      <c r="X56" s="12">
        <f t="shared" si="35"/>
        <v>10091.385399559238</v>
      </c>
      <c r="Y56" s="14">
        <f t="shared" si="36"/>
        <v>-645.00515860517953</v>
      </c>
      <c r="Z56" s="14">
        <f t="shared" si="37"/>
        <v>-202.52299287970135</v>
      </c>
      <c r="AA56" s="14">
        <f t="shared" si="38"/>
        <v>68.164540022220024</v>
      </c>
      <c r="AB56" s="16">
        <f t="shared" si="39"/>
        <v>-44.42871611578277</v>
      </c>
      <c r="AC56" s="16">
        <f t="shared" si="40"/>
        <v>-17.98387408291768</v>
      </c>
      <c r="AD56" s="16">
        <f t="shared" si="41"/>
        <v>436.90567860557371</v>
      </c>
      <c r="AE56" s="18">
        <f t="shared" si="42"/>
        <v>36545.760732167138</v>
      </c>
      <c r="AF56" s="18">
        <f t="shared" si="43"/>
        <v>24822.585538208557</v>
      </c>
      <c r="AG56" s="18">
        <f t="shared" si="44"/>
        <v>6683.1583984482377</v>
      </c>
      <c r="AH56" s="18">
        <f t="shared" si="45"/>
        <v>-2074.0669961190215</v>
      </c>
      <c r="AI56" s="18">
        <f t="shared" si="46"/>
        <v>-13797.242190077603</v>
      </c>
      <c r="AJ56" s="18">
        <f t="shared" si="47"/>
        <v>-31936.669329837925</v>
      </c>
    </row>
    <row r="57" spans="6:36" x14ac:dyDescent="0.4">
      <c r="F57">
        <v>39500</v>
      </c>
      <c r="G57" s="6">
        <f t="shared" si="26"/>
        <v>1.5853081325954466</v>
      </c>
      <c r="H57" s="6">
        <f>(LN($D$13/$F57)+(sigma2^2/2))*(rate2+TimeofExpiration2)/(sigma2*SQRT(TimeofExpiration2))</f>
        <v>0.34115894627493476</v>
      </c>
      <c r="I57" s="6">
        <f>(LN($E$13/$F57)+(sigma2^2/2))*(rate2+TimeofExpiration2)/(sigma2*SQRT(TimeofExpiration2))</f>
        <v>-0.96682006060760506</v>
      </c>
      <c r="J57">
        <f t="shared" si="27"/>
        <v>1.5453081325954465</v>
      </c>
      <c r="K57">
        <f t="shared" si="28"/>
        <v>0.30115894627493478</v>
      </c>
      <c r="L57">
        <f t="shared" si="29"/>
        <v>-1.006820060607605</v>
      </c>
      <c r="M57" s="8">
        <f t="shared" si="22"/>
        <v>0.94355182890748157</v>
      </c>
      <c r="N57" s="8">
        <f t="shared" si="22"/>
        <v>0.63350803631352548</v>
      </c>
      <c r="O57" s="8">
        <f t="shared" si="22"/>
        <v>0.16681699710619213</v>
      </c>
      <c r="P57" s="8">
        <f t="shared" si="23"/>
        <v>-5.6448171092518429E-2</v>
      </c>
      <c r="Q57" s="8">
        <f t="shared" si="23"/>
        <v>-0.36649196368647452</v>
      </c>
      <c r="R57" s="8">
        <f t="shared" si="23"/>
        <v>-0.83318300289380787</v>
      </c>
      <c r="S57" s="10">
        <f t="shared" si="30"/>
        <v>6.7587429710222214E-5</v>
      </c>
      <c r="T57" s="10">
        <f t="shared" si="31"/>
        <v>2.3524285433202896E-4</v>
      </c>
      <c r="U57" s="10">
        <f t="shared" si="32"/>
        <v>1.6447126862276695E-4</v>
      </c>
      <c r="V57" s="12">
        <f t="shared" si="33"/>
        <v>4768.9690403532795</v>
      </c>
      <c r="W57" s="12">
        <f t="shared" si="34"/>
        <v>15055.542677249854</v>
      </c>
      <c r="X57" s="12">
        <f t="shared" si="35"/>
        <v>9499.8604756510194</v>
      </c>
      <c r="Y57" s="14">
        <f t="shared" si="36"/>
        <v>-631.63658156965948</v>
      </c>
      <c r="Z57" s="14">
        <f t="shared" si="37"/>
        <v>-177.71536428046454</v>
      </c>
      <c r="AA57" s="14">
        <f t="shared" si="38"/>
        <v>68.414939512741668</v>
      </c>
      <c r="AB57" s="16">
        <f t="shared" si="39"/>
        <v>-48.038391271453989</v>
      </c>
      <c r="AC57" s="16">
        <f t="shared" si="40"/>
        <v>-5.5801194581221125</v>
      </c>
      <c r="AD57" s="16">
        <f t="shared" si="41"/>
        <v>462.77747239903761</v>
      </c>
      <c r="AE57" s="18">
        <f t="shared" si="42"/>
        <v>36350.798118836254</v>
      </c>
      <c r="AF57" s="18">
        <f t="shared" si="43"/>
        <v>23941.310891273082</v>
      </c>
      <c r="AG57" s="18">
        <f t="shared" si="44"/>
        <v>6079.1135000139357</v>
      </c>
      <c r="AH57" s="18">
        <f t="shared" si="45"/>
        <v>-2367.0494767805799</v>
      </c>
      <c r="AI57" s="18">
        <f t="shared" si="46"/>
        <v>-14776.536704343751</v>
      </c>
      <c r="AJ57" s="18">
        <f t="shared" si="47"/>
        <v>-32638.7340956029</v>
      </c>
    </row>
    <row r="58" spans="6:36" x14ac:dyDescent="0.4">
      <c r="F58">
        <v>39600</v>
      </c>
      <c r="G58" s="6">
        <f t="shared" si="26"/>
        <v>1.5208327505848016</v>
      </c>
      <c r="H58" s="6">
        <f>(LN($D$13/$F58)+(sigma2^2/2))*(rate2+TimeofExpiration2)/(sigma2*SQRT(TimeofExpiration2))</f>
        <v>0.27668356426428842</v>
      </c>
      <c r="I58" s="6">
        <f>(LN($E$13/$F58)+(sigma2^2/2))*(rate2+TimeofExpiration2)/(sigma2*SQRT(TimeofExpiration2))</f>
        <v>-1.031295442618253</v>
      </c>
      <c r="J58">
        <f t="shared" si="27"/>
        <v>1.4808327505848016</v>
      </c>
      <c r="K58">
        <f t="shared" si="28"/>
        <v>0.23668356426428841</v>
      </c>
      <c r="L58">
        <f t="shared" si="29"/>
        <v>-1.071295442618253</v>
      </c>
      <c r="M58" s="8">
        <f t="shared" si="22"/>
        <v>0.93584909326641508</v>
      </c>
      <c r="N58" s="8">
        <f t="shared" si="22"/>
        <v>0.6089884534045642</v>
      </c>
      <c r="O58" s="8">
        <f t="shared" si="22"/>
        <v>0.15120114742359994</v>
      </c>
      <c r="P58" s="8">
        <f t="shared" si="23"/>
        <v>-6.4150906733584923E-2</v>
      </c>
      <c r="Q58" s="8">
        <f t="shared" si="23"/>
        <v>-0.3910115465954358</v>
      </c>
      <c r="R58" s="8">
        <f t="shared" si="23"/>
        <v>-0.84879885257640009</v>
      </c>
      <c r="S58" s="10">
        <f t="shared" si="30"/>
        <v>7.4705732144978403E-5</v>
      </c>
      <c r="T58" s="10">
        <f t="shared" si="31"/>
        <v>2.3997535226319257E-4</v>
      </c>
      <c r="U58" s="10">
        <f t="shared" si="32"/>
        <v>1.5421091848784663E-4</v>
      </c>
      <c r="V58" s="12">
        <f t="shared" si="33"/>
        <v>5271.2364601496756</v>
      </c>
      <c r="W58" s="12">
        <f t="shared" si="34"/>
        <v>15358.422544844323</v>
      </c>
      <c r="X58" s="12">
        <f t="shared" si="35"/>
        <v>8907.222651858021</v>
      </c>
      <c r="Y58" s="14">
        <f t="shared" si="36"/>
        <v>-617.0739746272136</v>
      </c>
      <c r="Z58" s="14">
        <f t="shared" si="37"/>
        <v>-153.61382421556004</v>
      </c>
      <c r="AA58" s="14">
        <f t="shared" si="38"/>
        <v>67.893179593031135</v>
      </c>
      <c r="AB58" s="16">
        <f t="shared" si="39"/>
        <v>-51.606083774250543</v>
      </c>
      <c r="AC58" s="16">
        <f t="shared" si="40"/>
        <v>8.3666232496171347</v>
      </c>
      <c r="AD58" s="16">
        <f t="shared" si="41"/>
        <v>487.92162277766033</v>
      </c>
      <c r="AE58" s="18">
        <f t="shared" si="42"/>
        <v>36124.935191510354</v>
      </c>
      <c r="AF58" s="18">
        <f t="shared" si="43"/>
        <v>23039.113755622326</v>
      </c>
      <c r="AG58" s="18">
        <f t="shared" si="44"/>
        <v>5512.5636722064655</v>
      </c>
      <c r="AH58" s="18">
        <f t="shared" si="45"/>
        <v>-2690.9322714371488</v>
      </c>
      <c r="AI58" s="18">
        <f t="shared" si="46"/>
        <v>-15776.753707325182</v>
      </c>
      <c r="AJ58" s="18">
        <f t="shared" si="47"/>
        <v>-33303.30379074104</v>
      </c>
    </row>
    <row r="59" spans="6:36" x14ac:dyDescent="0.4">
      <c r="F59">
        <v>39700</v>
      </c>
      <c r="G59" s="6">
        <f t="shared" si="26"/>
        <v>1.4565199800507023</v>
      </c>
      <c r="H59" s="6">
        <f>(LN($D$13/$F59)+(sigma2^2/2))*(rate2+TimeofExpiration2)/(sigma2*SQRT(TimeofExpiration2))</f>
        <v>0.2123707937301855</v>
      </c>
      <c r="I59" s="6">
        <f>(LN($E$13/$F59)+(sigma2^2/2))*(rate2+TimeofExpiration2)/(sigma2*SQRT(TimeofExpiration2))</f>
        <v>-1.0956082131523537</v>
      </c>
      <c r="J59">
        <f t="shared" si="27"/>
        <v>1.4165199800507022</v>
      </c>
      <c r="K59">
        <f t="shared" si="28"/>
        <v>0.17237079373018549</v>
      </c>
      <c r="L59">
        <f t="shared" si="29"/>
        <v>-1.1356082131523537</v>
      </c>
      <c r="M59" s="8">
        <f t="shared" si="22"/>
        <v>0.92737553478736234</v>
      </c>
      <c r="N59" s="8">
        <f t="shared" si="22"/>
        <v>0.58409111534199654</v>
      </c>
      <c r="O59" s="8">
        <f t="shared" si="22"/>
        <v>0.13662513294950918</v>
      </c>
      <c r="P59" s="8">
        <f t="shared" si="23"/>
        <v>-7.2624465212637657E-2</v>
      </c>
      <c r="Q59" s="8">
        <f t="shared" si="23"/>
        <v>-0.41590888465800346</v>
      </c>
      <c r="R59" s="8">
        <f t="shared" si="23"/>
        <v>-0.86337486705049082</v>
      </c>
      <c r="S59" s="10">
        <f t="shared" si="30"/>
        <v>8.2211708099420166E-5</v>
      </c>
      <c r="T59" s="10">
        <f t="shared" si="31"/>
        <v>2.4377908833501659E-4</v>
      </c>
      <c r="U59" s="10">
        <f t="shared" si="32"/>
        <v>1.440164792919651E-4</v>
      </c>
      <c r="V59" s="12">
        <f t="shared" si="33"/>
        <v>5800.8581234950861</v>
      </c>
      <c r="W59" s="12">
        <f t="shared" si="34"/>
        <v>15601.861653441061</v>
      </c>
      <c r="X59" s="12">
        <f t="shared" si="35"/>
        <v>8318.3918439039044</v>
      </c>
      <c r="Y59" s="14">
        <f t="shared" si="36"/>
        <v>-601.31236242481623</v>
      </c>
      <c r="Z59" s="14">
        <f t="shared" si="37"/>
        <v>-130.3568392565457</v>
      </c>
      <c r="AA59" s="14">
        <f t="shared" si="38"/>
        <v>66.701366842773453</v>
      </c>
      <c r="AB59" s="16">
        <f t="shared" si="39"/>
        <v>-55.068940759056048</v>
      </c>
      <c r="AC59" s="16">
        <f t="shared" si="40"/>
        <v>23.846441211375634</v>
      </c>
      <c r="AD59" s="16">
        <f t="shared" si="41"/>
        <v>512.24343969218103</v>
      </c>
      <c r="AE59" s="18">
        <f t="shared" si="42"/>
        <v>35866.476244735903</v>
      </c>
      <c r="AF59" s="18">
        <f t="shared" si="43"/>
        <v>22119.703616268347</v>
      </c>
      <c r="AG59" s="18">
        <f t="shared" si="44"/>
        <v>4983.3235017652323</v>
      </c>
      <c r="AH59" s="18">
        <f t="shared" si="45"/>
        <v>-3047.4110855422846</v>
      </c>
      <c r="AI59" s="18">
        <f t="shared" si="46"/>
        <v>-16794.18371400984</v>
      </c>
      <c r="AJ59" s="18">
        <f t="shared" si="47"/>
        <v>-33930.563828512953</v>
      </c>
    </row>
    <row r="60" spans="6:36" x14ac:dyDescent="0.4">
      <c r="F60">
        <v>39800</v>
      </c>
      <c r="G60" s="6">
        <f t="shared" si="26"/>
        <v>1.392369002820893</v>
      </c>
      <c r="H60" s="6">
        <f>(LN($D$13/$F60)+(sigma2^2/2))*(rate2+TimeofExpiration2)/(sigma2*SQRT(TimeofExpiration2))</f>
        <v>0.14821981650037694</v>
      </c>
      <c r="I60" s="6">
        <f>(LN($E$13/$F60)+(sigma2^2/2))*(rate2+TimeofExpiration2)/(sigma2*SQRT(TimeofExpiration2))</f>
        <v>-1.1597591903821587</v>
      </c>
      <c r="J60">
        <f t="shared" si="27"/>
        <v>1.352369002820893</v>
      </c>
      <c r="K60">
        <f t="shared" si="28"/>
        <v>0.10821981650037693</v>
      </c>
      <c r="L60">
        <f t="shared" si="29"/>
        <v>-1.1997591903821587</v>
      </c>
      <c r="M60" s="8">
        <f t="shared" si="22"/>
        <v>0.91809465702059911</v>
      </c>
      <c r="N60" s="8">
        <f t="shared" si="22"/>
        <v>0.55891535337760334</v>
      </c>
      <c r="O60" s="8">
        <f t="shared" si="22"/>
        <v>0.12307343184659962</v>
      </c>
      <c r="P60" s="8">
        <f t="shared" si="23"/>
        <v>-8.1905342979400886E-2</v>
      </c>
      <c r="Q60" s="8">
        <f t="shared" si="23"/>
        <v>-0.44108464662239666</v>
      </c>
      <c r="R60" s="8">
        <f t="shared" si="23"/>
        <v>-0.87692656815340042</v>
      </c>
      <c r="S60" s="10">
        <f t="shared" si="30"/>
        <v>9.0078114461813495E-5</v>
      </c>
      <c r="T60" s="10">
        <f t="shared" si="31"/>
        <v>2.4661503536436573E-4</v>
      </c>
      <c r="U60" s="10">
        <f t="shared" si="32"/>
        <v>1.3396595775636786E-4</v>
      </c>
      <c r="V60" s="12">
        <f t="shared" si="33"/>
        <v>6355.9117564255603</v>
      </c>
      <c r="W60" s="12">
        <f t="shared" si="34"/>
        <v>15783.362263319405</v>
      </c>
      <c r="X60" s="12">
        <f t="shared" si="35"/>
        <v>7737.8737200078085</v>
      </c>
      <c r="Y60" s="14">
        <f t="shared" si="36"/>
        <v>-584.35857439629683</v>
      </c>
      <c r="Z60" s="14">
        <f t="shared" si="37"/>
        <v>-108.07177104371618</v>
      </c>
      <c r="AA60" s="14">
        <f t="shared" si="38"/>
        <v>64.93923781499079</v>
      </c>
      <c r="AB60" s="16">
        <f t="shared" si="39"/>
        <v>-58.356900701141939</v>
      </c>
      <c r="AC60" s="16">
        <f t="shared" si="40"/>
        <v>40.83188237568487</v>
      </c>
      <c r="AD60" s="16">
        <f t="shared" si="41"/>
        <v>535.6624329668557</v>
      </c>
      <c r="AE60" s="18">
        <f t="shared" si="42"/>
        <v>35573.840476240395</v>
      </c>
      <c r="AF60" s="18">
        <f t="shared" si="43"/>
        <v>21186.950815505214</v>
      </c>
      <c r="AG60" s="18">
        <f t="shared" si="44"/>
        <v>4490.911829258268</v>
      </c>
      <c r="AH60" s="18">
        <f t="shared" si="45"/>
        <v>-3438.0667213684628</v>
      </c>
      <c r="AI60" s="18">
        <f t="shared" si="46"/>
        <v>-17824.956382103646</v>
      </c>
      <c r="AJ60" s="18">
        <f t="shared" si="47"/>
        <v>-34520.995368350588</v>
      </c>
    </row>
    <row r="61" spans="6:36" x14ac:dyDescent="0.4">
      <c r="F61">
        <v>39900</v>
      </c>
      <c r="G61" s="6">
        <f t="shared" si="26"/>
        <v>1.3283790068825372</v>
      </c>
      <c r="H61" s="6">
        <f>(LN($D$13/$F61)+(sigma2^2/2))*(rate2+TimeofExpiration2)/(sigma2*SQRT(TimeofExpiration2))</f>
        <v>8.4229820562021107E-2</v>
      </c>
      <c r="I61" s="6">
        <f>(LN($E$13/$F61)+(sigma2^2/2))*(rate2+TimeofExpiration2)/(sigma2*SQRT(TimeofExpiration2))</f>
        <v>-1.2237491863205174</v>
      </c>
      <c r="J61">
        <f t="shared" si="27"/>
        <v>1.2883790068825371</v>
      </c>
      <c r="K61">
        <f t="shared" si="28"/>
        <v>4.4229820562021106E-2</v>
      </c>
      <c r="L61">
        <f t="shared" si="29"/>
        <v>-1.2637491863205175</v>
      </c>
      <c r="M61" s="8">
        <f t="shared" si="22"/>
        <v>0.90797353445443574</v>
      </c>
      <c r="N61" s="8">
        <f t="shared" si="22"/>
        <v>0.53356314547626471</v>
      </c>
      <c r="O61" s="8">
        <f t="shared" si="22"/>
        <v>0.11052342923578644</v>
      </c>
      <c r="P61" s="8">
        <f t="shared" si="23"/>
        <v>-9.2026465545564262E-2</v>
      </c>
      <c r="Q61" s="8">
        <f t="shared" si="23"/>
        <v>-0.46643685452373529</v>
      </c>
      <c r="R61" s="8">
        <f t="shared" si="23"/>
        <v>-0.8894765707642136</v>
      </c>
      <c r="S61" s="10">
        <f t="shared" si="30"/>
        <v>9.8270861539307946E-5</v>
      </c>
      <c r="T61" s="10">
        <f t="shared" si="31"/>
        <v>2.4845600440033685E-4</v>
      </c>
      <c r="U61" s="10">
        <f t="shared" si="32"/>
        <v>1.2412949999064009E-4</v>
      </c>
      <c r="V61" s="12">
        <f t="shared" si="33"/>
        <v>6933.991990213568</v>
      </c>
      <c r="W61" s="12">
        <f t="shared" si="34"/>
        <v>15901.184281621556</v>
      </c>
      <c r="X61" s="12">
        <f t="shared" si="35"/>
        <v>7169.7199194593722</v>
      </c>
      <c r="Y61" s="14">
        <f t="shared" si="36"/>
        <v>-566.23198566132623</v>
      </c>
      <c r="Z61" s="14">
        <f t="shared" si="37"/>
        <v>-86.873093298542415</v>
      </c>
      <c r="AA61" s="14">
        <f t="shared" si="38"/>
        <v>62.702771547198225</v>
      </c>
      <c r="AB61" s="16">
        <f t="shared" si="39"/>
        <v>-61.393123971078239</v>
      </c>
      <c r="AC61" s="16">
        <f t="shared" si="40"/>
        <v>59.278076735386037</v>
      </c>
      <c r="AD61" s="16">
        <f t="shared" si="41"/>
        <v>558.11251606761402</v>
      </c>
      <c r="AE61" s="18">
        <f t="shared" si="42"/>
        <v>35245.591273279875</v>
      </c>
      <c r="AF61" s="18">
        <f t="shared" si="43"/>
        <v>20244.838946548676</v>
      </c>
      <c r="AG61" s="18">
        <f t="shared" si="44"/>
        <v>4034.5813420994609</v>
      </c>
      <c r="AH61" s="18">
        <f t="shared" si="45"/>
        <v>-3864.3357916596556</v>
      </c>
      <c r="AI61" s="18">
        <f t="shared" si="46"/>
        <v>-18865.088118390857</v>
      </c>
      <c r="AJ61" s="18">
        <f t="shared" si="47"/>
        <v>-35075.345722840073</v>
      </c>
    </row>
    <row r="62" spans="6:36" x14ac:dyDescent="0.4">
      <c r="F62">
        <v>40000</v>
      </c>
      <c r="G62" s="6">
        <f t="shared" si="26"/>
        <v>1.2645491863205174</v>
      </c>
      <c r="H62" s="6">
        <f>(LN($D$13/$F62)+(sigma2^2/2))*(rate2+TimeofExpiration2)/(sigma2*SQRT(TimeofExpiration2))</f>
        <v>2.0400000000000001E-2</v>
      </c>
      <c r="I62" s="6">
        <f>(LN($E$13/$F62)+(sigma2^2/2))*(rate2+TimeofExpiration2)/(sigma2*SQRT(TimeofExpiration2))</f>
        <v>-1.2875790068825397</v>
      </c>
      <c r="J62">
        <f t="shared" si="27"/>
        <v>1.2245491863205173</v>
      </c>
      <c r="K62">
        <f t="shared" si="28"/>
        <v>-1.9599999999999999E-2</v>
      </c>
      <c r="L62">
        <f t="shared" si="29"/>
        <v>-1.3275790068825397</v>
      </c>
      <c r="M62" s="8">
        <f t="shared" si="22"/>
        <v>0.89698351091271</v>
      </c>
      <c r="N62" s="8">
        <f t="shared" si="22"/>
        <v>0.50813785807443868</v>
      </c>
      <c r="O62" s="8">
        <f t="shared" si="22"/>
        <v>9.8946275466816669E-2</v>
      </c>
      <c r="P62" s="8">
        <f t="shared" si="23"/>
        <v>-0.10301648908729</v>
      </c>
      <c r="Q62" s="8">
        <f t="shared" si="23"/>
        <v>-0.49186214192556132</v>
      </c>
      <c r="R62" s="8">
        <f t="shared" si="23"/>
        <v>-0.90105372453318333</v>
      </c>
      <c r="S62" s="10">
        <f t="shared" si="30"/>
        <v>1.0674903689961268E-4</v>
      </c>
      <c r="T62" s="10">
        <f t="shared" si="31"/>
        <v>2.4928704820480424E-4</v>
      </c>
      <c r="U62" s="10">
        <f t="shared" si="32"/>
        <v>1.1456891978544845E-4</v>
      </c>
      <c r="V62" s="12">
        <f t="shared" si="33"/>
        <v>7532.2120436366704</v>
      </c>
      <c r="W62" s="12">
        <f t="shared" si="34"/>
        <v>15954.371085107472</v>
      </c>
      <c r="X62" s="12">
        <f t="shared" si="35"/>
        <v>6617.5008068075031</v>
      </c>
      <c r="Y62" s="14">
        <f t="shared" si="36"/>
        <v>-546.96506698023313</v>
      </c>
      <c r="Z62" s="14">
        <f t="shared" si="37"/>
        <v>-66.860890739068566</v>
      </c>
      <c r="AA62" s="14">
        <f t="shared" si="38"/>
        <v>60.083016941158021</v>
      </c>
      <c r="AB62" s="16">
        <f t="shared" si="39"/>
        <v>-64.094610080295737</v>
      </c>
      <c r="AC62" s="16">
        <f t="shared" si="40"/>
        <v>79.123204502036629</v>
      </c>
      <c r="AD62" s="16">
        <f t="shared" si="41"/>
        <v>579.54192331426214</v>
      </c>
      <c r="AE62" s="18">
        <f t="shared" si="42"/>
        <v>34880.46539264833</v>
      </c>
      <c r="AF62" s="18">
        <f t="shared" si="43"/>
        <v>19297.415622060904</v>
      </c>
      <c r="AG62" s="18">
        <f t="shared" si="44"/>
        <v>3613.349959749602</v>
      </c>
      <c r="AH62" s="18">
        <f t="shared" si="45"/>
        <v>-4327.4815396218837</v>
      </c>
      <c r="AI62" s="18">
        <f t="shared" si="46"/>
        <v>-19910.531310209306</v>
      </c>
      <c r="AJ62" s="18">
        <f t="shared" si="47"/>
        <v>-35594.596972520609</v>
      </c>
    </row>
    <row r="63" spans="6:36" x14ac:dyDescent="0.4">
      <c r="F63">
        <v>40100</v>
      </c>
      <c r="G63" s="6">
        <f t="shared" si="26"/>
        <v>1.2008787412565436</v>
      </c>
      <c r="H63" s="6">
        <f>(LN($D$13/$F63)+(sigma2^2/2))*(rate2+TimeofExpiration2)/(sigma2*SQRT(TimeofExpiration2))</f>
        <v>-4.3270445063972443E-2</v>
      </c>
      <c r="I63" s="6">
        <f>(LN($E$13/$F63)+(sigma2^2/2))*(rate2+TimeofExpiration2)/(sigma2*SQRT(TimeofExpiration2))</f>
        <v>-1.351249451946511</v>
      </c>
      <c r="J63">
        <f t="shared" si="27"/>
        <v>1.1608787412565436</v>
      </c>
      <c r="K63">
        <f t="shared" si="28"/>
        <v>-8.3270445063972437E-2</v>
      </c>
      <c r="L63">
        <f t="shared" si="29"/>
        <v>-1.3912494519465111</v>
      </c>
      <c r="M63" s="8">
        <f t="shared" si="22"/>
        <v>0.88510087911724811</v>
      </c>
      <c r="N63" s="8">
        <f t="shared" si="22"/>
        <v>0.48274297528507792</v>
      </c>
      <c r="O63" s="8">
        <f t="shared" si="22"/>
        <v>8.8307769139950268E-2</v>
      </c>
      <c r="P63" s="8">
        <f t="shared" si="23"/>
        <v>-0.11489912088275189</v>
      </c>
      <c r="Q63" s="8">
        <f t="shared" si="23"/>
        <v>-0.51725702471492208</v>
      </c>
      <c r="R63" s="8">
        <f t="shared" si="23"/>
        <v>-0.91169223086004969</v>
      </c>
      <c r="S63" s="10">
        <f t="shared" si="30"/>
        <v>1.1546507193766045E-4</v>
      </c>
      <c r="T63" s="10">
        <f t="shared" si="31"/>
        <v>2.4910561192640826E-4</v>
      </c>
      <c r="U63" s="10">
        <f t="shared" si="32"/>
        <v>1.0533743565228342E-4</v>
      </c>
      <c r="V63" s="12">
        <f t="shared" si="33"/>
        <v>8147.2154759213208</v>
      </c>
      <c r="W63" s="12">
        <f t="shared" si="34"/>
        <v>15942.759163290129</v>
      </c>
      <c r="X63" s="12">
        <f t="shared" si="35"/>
        <v>6084.2902832758909</v>
      </c>
      <c r="Y63" s="14">
        <f t="shared" si="36"/>
        <v>-526.60371896692914</v>
      </c>
      <c r="Z63" s="14">
        <f t="shared" si="37"/>
        <v>-48.119669484342978</v>
      </c>
      <c r="AA63" s="14">
        <f t="shared" si="38"/>
        <v>57.165141287842118</v>
      </c>
      <c r="AB63" s="16">
        <f t="shared" si="39"/>
        <v>-66.373002011764257</v>
      </c>
      <c r="AC63" s="16">
        <f t="shared" si="40"/>
        <v>100.28929997606946</v>
      </c>
      <c r="AD63" s="16">
        <f t="shared" si="41"/>
        <v>599.91286594882422</v>
      </c>
      <c r="AE63" s="18">
        <f t="shared" si="42"/>
        <v>34477.40142426778</v>
      </c>
      <c r="AF63" s="18">
        <f t="shared" si="43"/>
        <v>18348.742637507279</v>
      </c>
      <c r="AG63" s="18">
        <f t="shared" si="44"/>
        <v>3226.0332188837851</v>
      </c>
      <c r="AH63" s="18">
        <f t="shared" si="45"/>
        <v>-4828.5653753331089</v>
      </c>
      <c r="AI63" s="18">
        <f t="shared" si="46"/>
        <v>-20957.224162093604</v>
      </c>
      <c r="AJ63" s="18">
        <f t="shared" si="47"/>
        <v>-36079.933580717101</v>
      </c>
    </row>
    <row r="64" spans="6:36" x14ac:dyDescent="0.4">
      <c r="F64">
        <v>40200</v>
      </c>
      <c r="G64" s="6">
        <f t="shared" si="26"/>
        <v>1.1373668777890173</v>
      </c>
      <c r="H64" s="6">
        <f>(LN($D$13/$F64)+(sigma2^2/2))*(rate2+TimeofExpiration2)/(sigma2*SQRT(TimeofExpiration2))</f>
        <v>-0.10678230853149581</v>
      </c>
      <c r="I64" s="6">
        <f>(LN($E$13/$F64)+(sigma2^2/2))*(rate2+TimeofExpiration2)/(sigma2*SQRT(TimeofExpiration2))</f>
        <v>-1.4147613154140342</v>
      </c>
      <c r="J64">
        <f t="shared" si="27"/>
        <v>1.0973668777890173</v>
      </c>
      <c r="K64">
        <f t="shared" si="28"/>
        <v>-0.14678230853149582</v>
      </c>
      <c r="L64">
        <f t="shared" si="29"/>
        <v>-1.4547613154140342</v>
      </c>
      <c r="M64" s="8">
        <f t="shared" si="22"/>
        <v>0.87230752614712781</v>
      </c>
      <c r="N64" s="8">
        <f t="shared" si="22"/>
        <v>0.45748084148218232</v>
      </c>
      <c r="O64" s="8">
        <f t="shared" si="22"/>
        <v>7.8569244962599941E-2</v>
      </c>
      <c r="P64" s="8">
        <f t="shared" si="23"/>
        <v>-0.12769247385287219</v>
      </c>
      <c r="Q64" s="8">
        <f t="shared" si="23"/>
        <v>-0.54251915851781773</v>
      </c>
      <c r="R64" s="8">
        <f t="shared" si="23"/>
        <v>-0.92143075503740002</v>
      </c>
      <c r="S64" s="10">
        <f t="shared" si="30"/>
        <v>1.2436505655875695E-4</v>
      </c>
      <c r="T64" s="10">
        <f t="shared" si="31"/>
        <v>2.4792143108379817E-4</v>
      </c>
      <c r="U64" s="10">
        <f t="shared" si="32"/>
        <v>9.6479603288985373E-5</v>
      </c>
      <c r="V64" s="12">
        <f t="shared" si="33"/>
        <v>8775.1983907858903</v>
      </c>
      <c r="W64" s="12">
        <f t="shared" si="34"/>
        <v>15866.971589363084</v>
      </c>
      <c r="X64" s="12">
        <f t="shared" si="35"/>
        <v>5572.6618859717946</v>
      </c>
      <c r="Y64" s="14">
        <f t="shared" si="36"/>
        <v>-505.20737030301711</v>
      </c>
      <c r="Z64" s="14">
        <f t="shared" si="37"/>
        <v>-30.71749916799979</v>
      </c>
      <c r="AA64" s="14">
        <f t="shared" si="38"/>
        <v>54.02769936859719</v>
      </c>
      <c r="AB64" s="16">
        <f t="shared" si="39"/>
        <v>-68.135572595821571</v>
      </c>
      <c r="AC64" s="16">
        <f t="shared" si="40"/>
        <v>122.68337059610803</v>
      </c>
      <c r="AD64" s="16">
        <f t="shared" si="41"/>
        <v>619.20095726835655</v>
      </c>
      <c r="AE64" s="18">
        <f t="shared" si="42"/>
        <v>34035.56690593675</v>
      </c>
      <c r="AF64" s="18">
        <f t="shared" si="43"/>
        <v>17402.846547763074</v>
      </c>
      <c r="AG64" s="18">
        <f t="shared" si="44"/>
        <v>2871.2769175419357</v>
      </c>
      <c r="AH64" s="18">
        <f t="shared" si="45"/>
        <v>-5368.4197609948114</v>
      </c>
      <c r="AI64" s="18">
        <f t="shared" si="46"/>
        <v>-22001.140119168485</v>
      </c>
      <c r="AJ64" s="18">
        <f t="shared" si="47"/>
        <v>-36532.709749389629</v>
      </c>
    </row>
    <row r="65" spans="6:36" x14ac:dyDescent="0.4">
      <c r="F65">
        <v>40300</v>
      </c>
      <c r="G65" s="6">
        <f t="shared" si="26"/>
        <v>1.0740128079336424</v>
      </c>
      <c r="H65" s="6">
        <f>(LN($D$13/$F65)+(sigma2^2/2))*(rate2+TimeofExpiration2)/(sigma2*SQRT(TimeofExpiration2))</f>
        <v>-0.17013637838687432</v>
      </c>
      <c r="I65" s="6">
        <f>(LN($E$13/$F65)+(sigma2^2/2))*(rate2+TimeofExpiration2)/(sigma2*SQRT(TimeofExpiration2))</f>
        <v>-1.4781153852694136</v>
      </c>
      <c r="J65">
        <f t="shared" si="27"/>
        <v>1.0340128079336424</v>
      </c>
      <c r="K65">
        <f t="shared" si="28"/>
        <v>-0.21013637838687432</v>
      </c>
      <c r="L65">
        <f t="shared" si="29"/>
        <v>-1.5181153852694136</v>
      </c>
      <c r="M65" s="8">
        <f t="shared" si="22"/>
        <v>0.85859152942382133</v>
      </c>
      <c r="N65" s="8">
        <f t="shared" si="22"/>
        <v>0.43245144237186739</v>
      </c>
      <c r="O65" s="8">
        <f t="shared" si="22"/>
        <v>6.9688448359442504E-2</v>
      </c>
      <c r="P65" s="8">
        <f t="shared" si="23"/>
        <v>-0.14140847057617867</v>
      </c>
      <c r="Q65" s="8">
        <f t="shared" si="23"/>
        <v>-0.56754855762813261</v>
      </c>
      <c r="R65" s="8">
        <f t="shared" si="23"/>
        <v>-0.93031155164055745</v>
      </c>
      <c r="S65" s="10">
        <f t="shared" si="30"/>
        <v>1.3338920345153346E-4</v>
      </c>
      <c r="T65" s="10">
        <f t="shared" si="31"/>
        <v>2.4575618410110927E-4</v>
      </c>
      <c r="U65" s="10">
        <f t="shared" si="32"/>
        <v>8.803142604133372E-5</v>
      </c>
      <c r="V65" s="12">
        <f t="shared" si="33"/>
        <v>9411.9421955402013</v>
      </c>
      <c r="W65" s="12">
        <f t="shared" si="34"/>
        <v>15728.395782470994</v>
      </c>
      <c r="X65" s="12">
        <f t="shared" si="35"/>
        <v>5084.6951681474357</v>
      </c>
      <c r="Y65" s="14">
        <f t="shared" si="36"/>
        <v>-482.84882511473575</v>
      </c>
      <c r="Z65" s="14">
        <f t="shared" si="37"/>
        <v>-14.705497252757766</v>
      </c>
      <c r="AA65" s="14">
        <f t="shared" si="38"/>
        <v>50.742116482312333</v>
      </c>
      <c r="AB65" s="16">
        <f t="shared" si="39"/>
        <v>-69.286382251098956</v>
      </c>
      <c r="AC65" s="16">
        <f t="shared" si="40"/>
        <v>146.19880213364729</v>
      </c>
      <c r="AD65" s="16">
        <f t="shared" si="41"/>
        <v>637.39444044165964</v>
      </c>
      <c r="AE65" s="18">
        <f t="shared" si="42"/>
        <v>33554.38345127699</v>
      </c>
      <c r="AF65" s="18">
        <f t="shared" si="43"/>
        <v>16463.670645108883</v>
      </c>
      <c r="AG65" s="18">
        <f t="shared" si="44"/>
        <v>2547.5893440318191</v>
      </c>
      <c r="AH65" s="18">
        <f t="shared" si="45"/>
        <v>-5947.6230829852529</v>
      </c>
      <c r="AI65" s="18">
        <f t="shared" si="46"/>
        <v>-23038.335889153361</v>
      </c>
      <c r="AJ65" s="18">
        <f t="shared" si="47"/>
        <v>-36954.417190230422</v>
      </c>
    </row>
    <row r="66" spans="6:36" x14ac:dyDescent="0.4">
      <c r="F66">
        <v>40400</v>
      </c>
      <c r="G66" s="6">
        <f t="shared" si="26"/>
        <v>1.010815749564731</v>
      </c>
      <c r="H66" s="6">
        <f>(LN($D$13/$F66)+(sigma2^2/2))*(rate2+TimeofExpiration2)/(sigma2*SQRT(TimeofExpiration2))</f>
        <v>-0.23333343675578633</v>
      </c>
      <c r="I66" s="6">
        <f>(LN($E$13/$F66)+(sigma2^2/2))*(rate2+TimeofExpiration2)/(sigma2*SQRT(TimeofExpiration2))</f>
        <v>-1.5413124436383261</v>
      </c>
      <c r="J66">
        <f t="shared" si="27"/>
        <v>0.97081574956473093</v>
      </c>
      <c r="K66">
        <f t="shared" si="28"/>
        <v>-0.27333343675578631</v>
      </c>
      <c r="L66">
        <f t="shared" si="29"/>
        <v>-1.5813124436383261</v>
      </c>
      <c r="M66" s="8">
        <f t="shared" si="22"/>
        <v>0.84394768818152721</v>
      </c>
      <c r="N66" s="8">
        <f t="shared" si="22"/>
        <v>0.40775124814533431</v>
      </c>
      <c r="O66" s="8">
        <f t="shared" si="22"/>
        <v>6.162038090068217E-2</v>
      </c>
      <c r="P66" s="8">
        <f t="shared" si="23"/>
        <v>-0.15605231181847279</v>
      </c>
      <c r="Q66" s="8">
        <f t="shared" si="23"/>
        <v>-0.59224875185466574</v>
      </c>
      <c r="R66" s="8">
        <f t="shared" si="23"/>
        <v>-0.93837961909931789</v>
      </c>
      <c r="S66" s="10">
        <f t="shared" si="30"/>
        <v>1.4247245924563147E-4</v>
      </c>
      <c r="T66" s="10">
        <f t="shared" si="31"/>
        <v>2.426429133467795E-4</v>
      </c>
      <c r="U66" s="10">
        <f t="shared" si="32"/>
        <v>8.0020622800725606E-5</v>
      </c>
      <c r="V66" s="12">
        <f t="shared" si="33"/>
        <v>10052.856724371757</v>
      </c>
      <c r="W66" s="12">
        <f t="shared" si="34"/>
        <v>15529.146454193888</v>
      </c>
      <c r="X66" s="12">
        <f t="shared" si="35"/>
        <v>4621.9911729699106</v>
      </c>
      <c r="Y66" s="14">
        <f t="shared" si="36"/>
        <v>-459.61385081775182</v>
      </c>
      <c r="Z66" s="14">
        <f t="shared" si="37"/>
        <v>-0.11765630558636531</v>
      </c>
      <c r="AA66" s="14">
        <f t="shared" si="38"/>
        <v>47.372373561742549</v>
      </c>
      <c r="AB66" s="16">
        <f t="shared" si="39"/>
        <v>-69.727591760763772</v>
      </c>
      <c r="AC66" s="16">
        <f t="shared" si="40"/>
        <v>170.71701355851644</v>
      </c>
      <c r="AD66" s="16">
        <f t="shared" si="41"/>
        <v>654.49325467480435</v>
      </c>
      <c r="AE66" s="18">
        <f t="shared" si="42"/>
        <v>33033.549265259346</v>
      </c>
      <c r="AF66" s="18">
        <f t="shared" si="43"/>
        <v>15535.029269473203</v>
      </c>
      <c r="AG66" s="18">
        <f t="shared" si="44"/>
        <v>2253.3724948827835</v>
      </c>
      <c r="AH66" s="18">
        <f t="shared" si="45"/>
        <v>-6566.4771363335676</v>
      </c>
      <c r="AI66" s="18">
        <f t="shared" si="46"/>
        <v>-24064.997132119708</v>
      </c>
      <c r="AJ66" s="18">
        <f t="shared" si="47"/>
        <v>-37346.653906710126</v>
      </c>
    </row>
    <row r="67" spans="6:36" x14ac:dyDescent="0.4">
      <c r="F67">
        <v>40500</v>
      </c>
      <c r="G67" s="6">
        <f t="shared" si="26"/>
        <v>0.9477749263573072</v>
      </c>
      <c r="H67" s="6">
        <f>(LN($D$13/$F67)+(sigma2^2/2))*(rate2+TimeofExpiration2)/(sigma2*SQRT(TimeofExpiration2))</f>
        <v>-0.29637425996320882</v>
      </c>
      <c r="I67" s="6">
        <f>(LN($E$13/$F67)+(sigma2^2/2))*(rate2+TimeofExpiration2)/(sigma2*SQRT(TimeofExpiration2))</f>
        <v>-1.6043532668457476</v>
      </c>
      <c r="J67">
        <f t="shared" si="27"/>
        <v>0.90777492635730717</v>
      </c>
      <c r="K67">
        <f t="shared" si="28"/>
        <v>-0.3363742599632088</v>
      </c>
      <c r="L67">
        <f t="shared" si="29"/>
        <v>-1.6443532668457477</v>
      </c>
      <c r="M67" s="8">
        <f t="shared" si="22"/>
        <v>0.82837797615595021</v>
      </c>
      <c r="N67" s="8">
        <f t="shared" si="22"/>
        <v>0.38347214018175751</v>
      </c>
      <c r="O67" s="8">
        <f t="shared" si="22"/>
        <v>5.4318102969654225E-2</v>
      </c>
      <c r="P67" s="8">
        <f t="shared" si="23"/>
        <v>-0.17162202384404979</v>
      </c>
      <c r="Q67" s="8">
        <f t="shared" si="23"/>
        <v>-0.61652785981824243</v>
      </c>
      <c r="R67" s="8">
        <f t="shared" si="23"/>
        <v>-0.94568189703034577</v>
      </c>
      <c r="S67" s="10">
        <f t="shared" si="30"/>
        <v>1.5154525555035076E-4</v>
      </c>
      <c r="T67" s="10">
        <f t="shared" si="31"/>
        <v>2.3862523468814824E-4</v>
      </c>
      <c r="U67" s="10">
        <f t="shared" si="32"/>
        <v>7.2467030630034841E-5</v>
      </c>
      <c r="V67" s="12">
        <f t="shared" si="33"/>
        <v>10693.033231632748</v>
      </c>
      <c r="W67" s="12">
        <f t="shared" si="34"/>
        <v>15272.015020041486</v>
      </c>
      <c r="X67" s="12">
        <f t="shared" si="35"/>
        <v>4185.695689190813</v>
      </c>
      <c r="Y67" s="14">
        <f t="shared" si="36"/>
        <v>-435.60050441506479</v>
      </c>
      <c r="Z67" s="14">
        <f t="shared" si="37"/>
        <v>13.028994397492966</v>
      </c>
      <c r="AA67" s="14">
        <f t="shared" si="38"/>
        <v>43.974878329740541</v>
      </c>
      <c r="AB67" s="16">
        <f t="shared" si="39"/>
        <v>-69.360908301902924</v>
      </c>
      <c r="AC67" s="16">
        <f t="shared" si="40"/>
        <v>196.10931897430521</v>
      </c>
      <c r="AD67" s="16">
        <f t="shared" si="41"/>
        <v>670.50797614057979</v>
      </c>
      <c r="AE67" s="18">
        <f t="shared" si="42"/>
        <v>32473.058452385987</v>
      </c>
      <c r="AF67" s="18">
        <f t="shared" si="43"/>
        <v>14620.56530016684</v>
      </c>
      <c r="AG67" s="18">
        <f t="shared" si="44"/>
        <v>1986.9517727037855</v>
      </c>
      <c r="AH67" s="18">
        <f t="shared" si="45"/>
        <v>-7224.9878165376012</v>
      </c>
      <c r="AI67" s="18">
        <f t="shared" si="46"/>
        <v>-25077.480968756747</v>
      </c>
      <c r="AJ67" s="18">
        <f t="shared" si="47"/>
        <v>-37711.094496219797</v>
      </c>
    </row>
    <row r="68" spans="6:36" x14ac:dyDescent="0.4">
      <c r="F68">
        <v>40600</v>
      </c>
      <c r="G68" s="6">
        <f t="shared" si="26"/>
        <v>0.88488956772987615</v>
      </c>
      <c r="H68" s="6">
        <f>(LN($D$13/$F68)+(sigma2^2/2))*(rate2+TimeofExpiration2)/(sigma2*SQRT(TimeofExpiration2))</f>
        <v>-0.35925961859064121</v>
      </c>
      <c r="I68" s="6">
        <f>(LN($E$13/$F68)+(sigma2^2/2))*(rate2+TimeofExpiration2)/(sigma2*SQRT(TimeofExpiration2))</f>
        <v>-1.6672386254731812</v>
      </c>
      <c r="J68">
        <f t="shared" si="27"/>
        <v>0.84488956772987611</v>
      </c>
      <c r="K68">
        <f t="shared" si="28"/>
        <v>-0.39925961859064119</v>
      </c>
      <c r="L68">
        <f t="shared" si="29"/>
        <v>-1.7072386254731813</v>
      </c>
      <c r="M68" s="8">
        <f t="shared" si="22"/>
        <v>0.81189190243726572</v>
      </c>
      <c r="N68" s="8">
        <f t="shared" si="22"/>
        <v>0.35970044011459257</v>
      </c>
      <c r="O68" s="8">
        <f t="shared" si="22"/>
        <v>4.7733482560587209E-2</v>
      </c>
      <c r="P68" s="8">
        <f t="shared" si="23"/>
        <v>-0.18810809756273428</v>
      </c>
      <c r="Q68" s="8">
        <f t="shared" si="23"/>
        <v>-0.64029955988540743</v>
      </c>
      <c r="R68" s="8">
        <f t="shared" si="23"/>
        <v>-0.95226651743941282</v>
      </c>
      <c r="S68" s="10">
        <f t="shared" si="30"/>
        <v>1.6053438860222079E-4</v>
      </c>
      <c r="T68" s="10">
        <f t="shared" si="31"/>
        <v>2.33756360795235E-4</v>
      </c>
      <c r="U68" s="10">
        <f t="shared" si="32"/>
        <v>6.5383118209246191E-5</v>
      </c>
      <c r="V68" s="12">
        <f t="shared" si="33"/>
        <v>11327.306459772699</v>
      </c>
      <c r="W68" s="12">
        <f t="shared" si="34"/>
        <v>14960.40709089504</v>
      </c>
      <c r="X68" s="12">
        <f t="shared" si="35"/>
        <v>3776.52890776606</v>
      </c>
      <c r="Y68" s="14">
        <f t="shared" si="36"/>
        <v>-410.91820223415516</v>
      </c>
      <c r="Z68" s="14">
        <f t="shared" si="37"/>
        <v>24.733910301025162</v>
      </c>
      <c r="AA68" s="14">
        <f t="shared" si="38"/>
        <v>40.598503239891862</v>
      </c>
      <c r="AB68" s="16">
        <f t="shared" si="39"/>
        <v>-68.089137899977885</v>
      </c>
      <c r="AC68" s="16">
        <f t="shared" si="40"/>
        <v>222.23894939030879</v>
      </c>
      <c r="AD68" s="16">
        <f t="shared" si="41"/>
        <v>685.4586696543347</v>
      </c>
      <c r="AE68" s="18">
        <f t="shared" si="42"/>
        <v>31873.216571480458</v>
      </c>
      <c r="AF68" s="18">
        <f t="shared" si="43"/>
        <v>13723.711575843781</v>
      </c>
      <c r="AG68" s="18">
        <f t="shared" si="44"/>
        <v>1746.6037457714665</v>
      </c>
      <c r="AH68" s="18">
        <f t="shared" si="45"/>
        <v>-7922.8495647738036</v>
      </c>
      <c r="AI68" s="18">
        <f t="shared" si="46"/>
        <v>-26072.354560410477</v>
      </c>
      <c r="AJ68" s="18">
        <f t="shared" si="47"/>
        <v>-38049.462390482797</v>
      </c>
    </row>
    <row r="69" spans="6:36" x14ac:dyDescent="0.4">
      <c r="F69">
        <v>40700</v>
      </c>
      <c r="G69" s="6">
        <f t="shared" si="26"/>
        <v>0.82215890878788689</v>
      </c>
      <c r="H69" s="6">
        <f>(LN($D$13/$F69)+(sigma2^2/2))*(rate2+TimeofExpiration2)/(sigma2*SQRT(TimeofExpiration2))</f>
        <v>-0.42199027753263091</v>
      </c>
      <c r="I69" s="6">
        <f>(LN($E$13/$F69)+(sigma2^2/2))*(rate2+TimeofExpiration2)/(sigma2*SQRT(TimeofExpiration2))</f>
        <v>-1.7299692844151715</v>
      </c>
      <c r="J69">
        <f t="shared" si="27"/>
        <v>0.78215890878788685</v>
      </c>
      <c r="K69">
        <f t="shared" si="28"/>
        <v>-0.46199027753263089</v>
      </c>
      <c r="L69">
        <f t="shared" si="29"/>
        <v>-1.7699692844151715</v>
      </c>
      <c r="M69" s="8">
        <f t="shared" si="22"/>
        <v>0.79450676906314333</v>
      </c>
      <c r="N69" s="8">
        <f t="shared" si="22"/>
        <v>0.33651605699726528</v>
      </c>
      <c r="O69" s="8">
        <f t="shared" si="22"/>
        <v>4.1817881590273227E-2</v>
      </c>
      <c r="P69" s="8">
        <f t="shared" si="23"/>
        <v>-0.20549323093685667</v>
      </c>
      <c r="Q69" s="8">
        <f t="shared" si="23"/>
        <v>-0.66348394300273472</v>
      </c>
      <c r="R69" s="8">
        <f t="shared" si="23"/>
        <v>-0.95818211840972678</v>
      </c>
      <c r="S69" s="10">
        <f t="shared" si="30"/>
        <v>1.6936401216662391E-4</v>
      </c>
      <c r="T69" s="10">
        <f t="shared" si="31"/>
        <v>2.2809796765524206E-4</v>
      </c>
      <c r="U69" s="10">
        <f t="shared" si="32"/>
        <v>5.877458587182015E-5</v>
      </c>
      <c r="V69" s="12">
        <f t="shared" si="33"/>
        <v>11950.324698476981</v>
      </c>
      <c r="W69" s="12">
        <f t="shared" si="34"/>
        <v>14598.269929935492</v>
      </c>
      <c r="X69" s="12">
        <f t="shared" si="35"/>
        <v>3394.8200799563319</v>
      </c>
      <c r="Y69" s="14">
        <f t="shared" si="36"/>
        <v>-385.68654517570565</v>
      </c>
      <c r="Z69" s="14">
        <f t="shared" si="37"/>
        <v>35.012261197374301</v>
      </c>
      <c r="AA69" s="14">
        <f t="shared" si="38"/>
        <v>37.284768734684917</v>
      </c>
      <c r="AB69" s="16">
        <f t="shared" si="39"/>
        <v>-65.817813043086176</v>
      </c>
      <c r="AC69" s="16">
        <f t="shared" si="40"/>
        <v>248.96318407165336</v>
      </c>
      <c r="AD69" s="16">
        <f t="shared" si="41"/>
        <v>699.37368560813036</v>
      </c>
      <c r="AE69" s="18">
        <f t="shared" si="42"/>
        <v>31234.651957262267</v>
      </c>
      <c r="AF69" s="18">
        <f t="shared" si="43"/>
        <v>12847.656870066778</v>
      </c>
      <c r="AG69" s="18">
        <f t="shared" si="44"/>
        <v>1530.5816432220859</v>
      </c>
      <c r="AH69" s="18">
        <f t="shared" si="45"/>
        <v>-8659.4340463226727</v>
      </c>
      <c r="AI69" s="18">
        <f t="shared" si="46"/>
        <v>-27046.429133518166</v>
      </c>
      <c r="AJ69" s="18">
        <f t="shared" si="47"/>
        <v>-38363.504360362851</v>
      </c>
    </row>
    <row r="70" spans="6:36" x14ac:dyDescent="0.4">
      <c r="F70">
        <v>40800</v>
      </c>
      <c r="G70" s="6">
        <f t="shared" si="26"/>
        <v>0.75958219026793072</v>
      </c>
      <c r="H70" s="6">
        <f>(LN($D$13/$F70)+(sigma2^2/2))*(rate2+TimeofExpiration2)/(sigma2*SQRT(TimeofExpiration2))</f>
        <v>-0.4845669960525838</v>
      </c>
      <c r="I70" s="6">
        <f>(LN($E$13/$F70)+(sigma2^2/2))*(rate2+TimeofExpiration2)/(sigma2*SQRT(TimeofExpiration2))</f>
        <v>-1.7925460029351206</v>
      </c>
      <c r="J70">
        <f t="shared" si="27"/>
        <v>0.71958219026793069</v>
      </c>
      <c r="K70">
        <f t="shared" si="28"/>
        <v>-0.52456699605258383</v>
      </c>
      <c r="L70">
        <f t="shared" si="29"/>
        <v>-1.8325460029351206</v>
      </c>
      <c r="M70" s="8">
        <f t="shared" si="22"/>
        <v>0.77624781593854753</v>
      </c>
      <c r="N70" s="8">
        <f t="shared" si="22"/>
        <v>0.3139917649180618</v>
      </c>
      <c r="O70" s="8">
        <f t="shared" si="22"/>
        <v>3.6522773543666974E-2</v>
      </c>
      <c r="P70" s="8">
        <f t="shared" si="23"/>
        <v>-0.22375218406145247</v>
      </c>
      <c r="Q70" s="8">
        <f t="shared" si="23"/>
        <v>-0.6860082350819382</v>
      </c>
      <c r="R70" s="8">
        <f t="shared" si="23"/>
        <v>-0.96347722645633305</v>
      </c>
      <c r="S70" s="10">
        <f t="shared" si="30"/>
        <v>1.7795672459418617E-4</v>
      </c>
      <c r="T70" s="10">
        <f t="shared" si="31"/>
        <v>2.2171893688805477E-4</v>
      </c>
      <c r="U70" s="10">
        <f t="shared" si="32"/>
        <v>5.2641028468409602E-5</v>
      </c>
      <c r="V70" s="12">
        <f t="shared" si="33"/>
        <v>12556.626487365775</v>
      </c>
      <c r="W70" s="12">
        <f t="shared" si="34"/>
        <v>14190.011960835505</v>
      </c>
      <c r="X70" s="12">
        <f t="shared" si="35"/>
        <v>3040.5458043353387</v>
      </c>
      <c r="Y70" s="14">
        <f t="shared" si="36"/>
        <v>-360.03391847202136</v>
      </c>
      <c r="Z70" s="14">
        <f t="shared" si="37"/>
        <v>43.893900854413687</v>
      </c>
      <c r="AA70" s="14">
        <f t="shared" si="38"/>
        <v>34.068149089428331</v>
      </c>
      <c r="AB70" s="16">
        <f t="shared" si="39"/>
        <v>-62.456860548340103</v>
      </c>
      <c r="AC70" s="16">
        <f t="shared" si="40"/>
        <v>276.13553983930581</v>
      </c>
      <c r="AD70" s="16">
        <f t="shared" si="41"/>
        <v>712.28843433432712</v>
      </c>
      <c r="AE70" s="18">
        <f t="shared" si="42"/>
        <v>30558.322410966844</v>
      </c>
      <c r="AF70" s="18">
        <f t="shared" si="43"/>
        <v>11995.316918114821</v>
      </c>
      <c r="AG70" s="18">
        <f t="shared" si="44"/>
        <v>1337.1383498639218</v>
      </c>
      <c r="AH70" s="18">
        <f t="shared" si="45"/>
        <v>-9433.7834599487687</v>
      </c>
      <c r="AI70" s="18">
        <f t="shared" si="46"/>
        <v>-27996.788952800791</v>
      </c>
      <c r="AJ70" s="18">
        <f t="shared" si="47"/>
        <v>-38654.967521051694</v>
      </c>
    </row>
    <row r="71" spans="6:36" x14ac:dyDescent="0.4">
      <c r="F71">
        <v>40900</v>
      </c>
      <c r="G71" s="6">
        <f t="shared" si="26"/>
        <v>0.69715865848261394</v>
      </c>
      <c r="H71" s="6">
        <f>(LN($D$13/$F71)+(sigma2^2/2))*(rate2+TimeofExpiration2)/(sigma2*SQRT(TimeofExpiration2))</f>
        <v>-0.54699052783790514</v>
      </c>
      <c r="I71" s="6">
        <f>(LN($E$13/$F71)+(sigma2^2/2))*(rate2+TimeofExpiration2)/(sigma2*SQRT(TimeofExpiration2))</f>
        <v>-1.854969534720444</v>
      </c>
      <c r="J71">
        <f t="shared" si="27"/>
        <v>0.6571586584826139</v>
      </c>
      <c r="K71">
        <f t="shared" si="28"/>
        <v>-0.58699052783790517</v>
      </c>
      <c r="L71">
        <f t="shared" si="29"/>
        <v>-1.894969534720444</v>
      </c>
      <c r="M71" s="8">
        <f t="shared" si="22"/>
        <v>0.75714824600908437</v>
      </c>
      <c r="N71" s="8">
        <f t="shared" si="22"/>
        <v>0.29219261983920286</v>
      </c>
      <c r="O71" s="8">
        <f t="shared" si="22"/>
        <v>3.1800288584901228E-2</v>
      </c>
      <c r="P71" s="8">
        <f t="shared" si="23"/>
        <v>-0.24285175399091563</v>
      </c>
      <c r="Q71" s="8">
        <f t="shared" si="23"/>
        <v>-0.70780738016079714</v>
      </c>
      <c r="R71" s="8">
        <f t="shared" si="23"/>
        <v>-0.96819971141509875</v>
      </c>
      <c r="S71" s="10">
        <f t="shared" si="30"/>
        <v>1.8623472767062321E-4</v>
      </c>
      <c r="T71" s="10">
        <f t="shared" si="31"/>
        <v>2.1469400842382343E-4</v>
      </c>
      <c r="U71" s="10">
        <f t="shared" si="32"/>
        <v>4.6976638434331679E-5</v>
      </c>
      <c r="V71" s="12">
        <f t="shared" si="33"/>
        <v>13140.722384439172</v>
      </c>
      <c r="W71" s="12">
        <f t="shared" si="34"/>
        <v>13740.416539124701</v>
      </c>
      <c r="X71" s="12">
        <f t="shared" si="35"/>
        <v>2713.3706359669977</v>
      </c>
      <c r="Y71" s="14">
        <f t="shared" si="36"/>
        <v>-334.09589147357889</v>
      </c>
      <c r="Z71" s="14">
        <f t="shared" si="37"/>
        <v>51.422113757859819</v>
      </c>
      <c r="AA71" s="14">
        <f t="shared" si="38"/>
        <v>30.976477712976788</v>
      </c>
      <c r="AB71" s="16">
        <f t="shared" si="39"/>
        <v>-57.922272086219948</v>
      </c>
      <c r="AC71" s="16">
        <f t="shared" si="40"/>
        <v>303.6079669577976</v>
      </c>
      <c r="AD71" s="16">
        <f t="shared" si="41"/>
        <v>724.2441670392227</v>
      </c>
      <c r="AE71" s="18">
        <f t="shared" si="42"/>
        <v>29845.516958118111</v>
      </c>
      <c r="AF71" s="18">
        <f t="shared" si="43"/>
        <v>11169.310851231709</v>
      </c>
      <c r="AG71" s="18">
        <f t="shared" si="44"/>
        <v>1164.5467503181585</v>
      </c>
      <c r="AH71" s="18">
        <f t="shared" si="45"/>
        <v>-10244.608780128174</v>
      </c>
      <c r="AI71" s="18">
        <f t="shared" si="46"/>
        <v>-28920.814887014578</v>
      </c>
      <c r="AJ71" s="18">
        <f t="shared" si="47"/>
        <v>-38925.578987928129</v>
      </c>
    </row>
    <row r="72" spans="6:36" x14ac:dyDescent="0.4">
      <c r="F72">
        <v>41000</v>
      </c>
      <c r="G72" s="6">
        <f t="shared" si="26"/>
        <v>0.63488756526604329</v>
      </c>
      <c r="H72" s="6">
        <f>(LN($D$13/$F72)+(sigma2^2/2))*(rate2+TimeofExpiration2)/(sigma2*SQRT(TimeofExpiration2))</f>
        <v>-0.60926162105447379</v>
      </c>
      <c r="I72" s="6">
        <f>(LN($E$13/$F72)+(sigma2^2/2))*(rate2+TimeofExpiration2)/(sigma2*SQRT(TimeofExpiration2))</f>
        <v>-1.9172406279370107</v>
      </c>
      <c r="J72">
        <f t="shared" si="27"/>
        <v>0.59488756526604325</v>
      </c>
      <c r="K72">
        <f t="shared" si="28"/>
        <v>-0.64926162105447383</v>
      </c>
      <c r="L72">
        <f t="shared" si="29"/>
        <v>-1.9572406279370107</v>
      </c>
      <c r="M72" s="8">
        <f t="shared" si="22"/>
        <v>0.73724912621935901</v>
      </c>
      <c r="N72" s="8">
        <f t="shared" si="22"/>
        <v>0.27117552079206236</v>
      </c>
      <c r="O72" s="8">
        <f t="shared" si="22"/>
        <v>2.7603684396600572E-2</v>
      </c>
      <c r="P72" s="8">
        <f t="shared" si="23"/>
        <v>-0.26275087378064099</v>
      </c>
      <c r="Q72" s="8">
        <f t="shared" si="23"/>
        <v>-0.72882447920793769</v>
      </c>
      <c r="R72" s="8">
        <f t="shared" si="23"/>
        <v>-0.97239631560339945</v>
      </c>
      <c r="S72" s="10">
        <f t="shared" si="30"/>
        <v>1.9412103224760029E-4</v>
      </c>
      <c r="T72" s="10">
        <f t="shared" si="31"/>
        <v>2.071023789061735E-4</v>
      </c>
      <c r="U72" s="10">
        <f t="shared" si="32"/>
        <v>4.1770928127349235E-5</v>
      </c>
      <c r="V72" s="12">
        <f t="shared" si="33"/>
        <v>13697.180035390675</v>
      </c>
      <c r="W72" s="12">
        <f t="shared" si="34"/>
        <v>13254.552249995104</v>
      </c>
      <c r="X72" s="12">
        <f t="shared" si="35"/>
        <v>2412.6888086356921</v>
      </c>
      <c r="Y72" s="14">
        <f t="shared" si="36"/>
        <v>-308.01344886280208</v>
      </c>
      <c r="Z72" s="14">
        <f t="shared" si="37"/>
        <v>57.65217995791204</v>
      </c>
      <c r="AA72" s="14">
        <f t="shared" si="38"/>
        <v>28.031429145422177</v>
      </c>
      <c r="AB72" s="16">
        <f t="shared" si="39"/>
        <v>-52.13773816688979</v>
      </c>
      <c r="AC72" s="16">
        <f t="shared" si="40"/>
        <v>331.23300206964717</v>
      </c>
      <c r="AD72" s="16">
        <f t="shared" si="41"/>
        <v>735.28678891153379</v>
      </c>
      <c r="AE72" s="18">
        <f t="shared" si="42"/>
        <v>29097.852478530778</v>
      </c>
      <c r="AF72" s="18">
        <f t="shared" si="43"/>
        <v>10371.943252099501</v>
      </c>
      <c r="AG72" s="18">
        <f t="shared" si="44"/>
        <v>1011.1173513645833</v>
      </c>
      <c r="AH72" s="18">
        <f t="shared" si="45"/>
        <v>-11090.293127046187</v>
      </c>
      <c r="AI72" s="18">
        <f t="shared" si="46"/>
        <v>-29816.202353477463</v>
      </c>
      <c r="AJ72" s="18">
        <f t="shared" si="47"/>
        <v>-39177.028254212382</v>
      </c>
    </row>
    <row r="73" spans="6:36" x14ac:dyDescent="0.4">
      <c r="F73">
        <v>41100</v>
      </c>
      <c r="G73" s="6">
        <f t="shared" si="26"/>
        <v>0.57276816792007645</v>
      </c>
      <c r="H73" s="6">
        <f>(LN($D$13/$F73)+(sigma2^2/2))*(rate2+TimeofExpiration2)/(sigma2*SQRT(TimeofExpiration2))</f>
        <v>-0.67138101840044095</v>
      </c>
      <c r="I73" s="6">
        <f>(LN($E$13/$F73)+(sigma2^2/2))*(rate2+TimeofExpiration2)/(sigma2*SQRT(TimeofExpiration2))</f>
        <v>-1.9793600252829811</v>
      </c>
      <c r="J73">
        <f t="shared" si="27"/>
        <v>0.53276816792007642</v>
      </c>
      <c r="K73">
        <f t="shared" si="28"/>
        <v>-0.71138101840044099</v>
      </c>
      <c r="L73">
        <f t="shared" si="29"/>
        <v>-2.0193600252829809</v>
      </c>
      <c r="M73" s="8">
        <f t="shared" si="22"/>
        <v>0.71659916258186218</v>
      </c>
      <c r="N73" s="8">
        <f t="shared" si="22"/>
        <v>0.25098891696544401</v>
      </c>
      <c r="O73" s="8">
        <f t="shared" si="22"/>
        <v>2.3887742919706977E-2</v>
      </c>
      <c r="P73" s="8">
        <f t="shared" si="23"/>
        <v>-0.28340083741813782</v>
      </c>
      <c r="Q73" s="8">
        <f t="shared" si="23"/>
        <v>-0.74901108303455599</v>
      </c>
      <c r="R73" s="8">
        <f t="shared" si="23"/>
        <v>-0.97611225708029303</v>
      </c>
      <c r="S73" s="10">
        <f t="shared" si="30"/>
        <v>2.0154068370924064E-4</v>
      </c>
      <c r="T73" s="10">
        <f t="shared" si="31"/>
        <v>1.9902628085396529E-4</v>
      </c>
      <c r="U73" s="10">
        <f t="shared" si="32"/>
        <v>3.7009452614197225E-5</v>
      </c>
      <c r="V73" s="12">
        <f t="shared" si="33"/>
        <v>14220.710642524018</v>
      </c>
      <c r="W73" s="12">
        <f t="shared" si="34"/>
        <v>12737.681974653779</v>
      </c>
      <c r="X73" s="12">
        <f t="shared" si="35"/>
        <v>2137.6659829960317</v>
      </c>
      <c r="Y73" s="14">
        <f t="shared" si="36"/>
        <v>-281.93108972200827</v>
      </c>
      <c r="Z73" s="14">
        <f t="shared" si="37"/>
        <v>62.649801403327331</v>
      </c>
      <c r="AA73" s="14">
        <f t="shared" si="38"/>
        <v>25.24905601126456</v>
      </c>
      <c r="AB73" s="16">
        <f t="shared" si="39"/>
        <v>-45.036205964816332</v>
      </c>
      <c r="AC73" s="16">
        <f t="shared" si="40"/>
        <v>358.86583187532898</v>
      </c>
      <c r="AD73" s="16">
        <f t="shared" si="41"/>
        <v>745.46572614957608</v>
      </c>
      <c r="AE73" s="18">
        <f t="shared" si="42"/>
        <v>28317.265128624433</v>
      </c>
      <c r="AF73" s="18">
        <f t="shared" si="43"/>
        <v>9605.1919044874121</v>
      </c>
      <c r="AG73" s="18">
        <f t="shared" si="44"/>
        <v>875.21318243280371</v>
      </c>
      <c r="AH73" s="18">
        <f t="shared" si="45"/>
        <v>-11968.900344283204</v>
      </c>
      <c r="AI73" s="18">
        <f t="shared" si="46"/>
        <v>-30680.973568420228</v>
      </c>
      <c r="AJ73" s="18">
        <f t="shared" si="47"/>
        <v>-39410.952290474837</v>
      </c>
    </row>
    <row r="74" spans="6:36" x14ac:dyDescent="0.4">
      <c r="F74">
        <v>41200</v>
      </c>
      <c r="G74" s="6">
        <f t="shared" si="26"/>
        <v>0.51079972916113348</v>
      </c>
      <c r="H74" s="6">
        <f>(LN($D$13/$F74)+(sigma2^2/2))*(rate2+TimeofExpiration2)/(sigma2*SQRT(TimeofExpiration2))</f>
        <v>-0.73334945715938205</v>
      </c>
      <c r="I74" s="6">
        <f>(LN($E$13/$F74)+(sigma2^2/2))*(rate2+TimeofExpiration2)/(sigma2*SQRT(TimeofExpiration2))</f>
        <v>-2.04132846404192</v>
      </c>
      <c r="J74">
        <f t="shared" si="27"/>
        <v>0.4707997291611335</v>
      </c>
      <c r="K74">
        <f t="shared" si="28"/>
        <v>-0.77334945715938208</v>
      </c>
      <c r="L74">
        <f t="shared" si="29"/>
        <v>-2.0813284640419201</v>
      </c>
      <c r="M74" s="8">
        <f t="shared" si="22"/>
        <v>0.69525435058167795</v>
      </c>
      <c r="N74" s="8">
        <f t="shared" si="22"/>
        <v>0.23167265878458179</v>
      </c>
      <c r="O74" s="8">
        <f t="shared" si="22"/>
        <v>2.060909482450976E-2</v>
      </c>
      <c r="P74" s="8">
        <f t="shared" si="23"/>
        <v>-0.30474564941832205</v>
      </c>
      <c r="Q74" s="8">
        <f t="shared" si="23"/>
        <v>-0.76832734121541824</v>
      </c>
      <c r="R74" s="8">
        <f t="shared" si="23"/>
        <v>-0.97939090517549021</v>
      </c>
      <c r="S74" s="10">
        <f t="shared" si="30"/>
        <v>2.0842197919541131E-4</v>
      </c>
      <c r="T74" s="10">
        <f t="shared" si="31"/>
        <v>1.9054957622753794E-4</v>
      </c>
      <c r="U74" s="10">
        <f t="shared" si="32"/>
        <v>3.2674516490531E-5</v>
      </c>
      <c r="V74" s="12">
        <f t="shared" si="33"/>
        <v>14706.254852028222</v>
      </c>
      <c r="W74" s="12">
        <f t="shared" si="34"/>
        <v>12195.172878562427</v>
      </c>
      <c r="X74" s="12">
        <f t="shared" si="35"/>
        <v>1887.2800724930707</v>
      </c>
      <c r="Y74" s="14">
        <f t="shared" si="36"/>
        <v>-255.99483487411618</v>
      </c>
      <c r="Z74" s="14">
        <f t="shared" si="37"/>
        <v>66.489434070927672</v>
      </c>
      <c r="AA74" s="14">
        <f t="shared" si="38"/>
        <v>22.640360728893704</v>
      </c>
      <c r="AB74" s="16">
        <f t="shared" si="39"/>
        <v>-36.561322150478645</v>
      </c>
      <c r="AC74" s="16">
        <f t="shared" si="40"/>
        <v>386.36622573319681</v>
      </c>
      <c r="AD74" s="16">
        <f t="shared" si="41"/>
        <v>754.83286463393722</v>
      </c>
      <c r="AE74" s="18">
        <f t="shared" si="42"/>
        <v>27505.996595734028</v>
      </c>
      <c r="AF74" s="18">
        <f t="shared" si="43"/>
        <v>8870.7011750160455</v>
      </c>
      <c r="AG74" s="18">
        <f t="shared" si="44"/>
        <v>755.26203604838531</v>
      </c>
      <c r="AH74" s="18">
        <f t="shared" si="45"/>
        <v>-12878.188744504287</v>
      </c>
      <c r="AI74" s="18">
        <f t="shared" si="46"/>
        <v>-31513.484165222268</v>
      </c>
      <c r="AJ74" s="18">
        <f t="shared" si="47"/>
        <v>-39628.923304189928</v>
      </c>
    </row>
    <row r="75" spans="6:36" x14ac:dyDescent="0.4">
      <c r="F75">
        <v>41300</v>
      </c>
      <c r="G75" s="6">
        <f t="shared" si="26"/>
        <v>0.44898151706772033</v>
      </c>
      <c r="H75" s="6">
        <f>(LN($D$13/$F75)+(sigma2^2/2))*(rate2+TimeofExpiration2)/(sigma2*SQRT(TimeofExpiration2))</f>
        <v>-0.79516766925279458</v>
      </c>
      <c r="I75" s="6">
        <f>(LN($E$13/$F75)+(sigma2^2/2))*(rate2+TimeofExpiration2)/(sigma2*SQRT(TimeofExpiration2))</f>
        <v>-2.1031466761353315</v>
      </c>
      <c r="J75">
        <f t="shared" si="27"/>
        <v>0.40898151706772035</v>
      </c>
      <c r="K75">
        <f t="shared" si="28"/>
        <v>-0.83516766925279462</v>
      </c>
      <c r="L75">
        <f t="shared" si="29"/>
        <v>-2.1431466761353315</v>
      </c>
      <c r="M75" s="8">
        <f t="shared" si="22"/>
        <v>0.67327750505993689</v>
      </c>
      <c r="N75" s="8">
        <f t="shared" si="22"/>
        <v>0.21325798789092335</v>
      </c>
      <c r="O75" s="8">
        <f t="shared" si="22"/>
        <v>1.7726474934707727E-2</v>
      </c>
      <c r="P75" s="8">
        <f t="shared" si="23"/>
        <v>-0.32672249494006311</v>
      </c>
      <c r="Q75" s="8">
        <f t="shared" si="23"/>
        <v>-0.78674201210907668</v>
      </c>
      <c r="R75" s="8">
        <f t="shared" si="23"/>
        <v>-0.98227352506529231</v>
      </c>
      <c r="S75" s="10">
        <f t="shared" si="30"/>
        <v>2.1469764821985688E-4</v>
      </c>
      <c r="T75" s="10">
        <f t="shared" si="31"/>
        <v>1.8175639571430368E-4</v>
      </c>
      <c r="U75" s="10">
        <f t="shared" si="32"/>
        <v>2.874585089835413E-5</v>
      </c>
      <c r="V75" s="12">
        <f t="shared" si="33"/>
        <v>15149.0660583931</v>
      </c>
      <c r="W75" s="12">
        <f t="shared" si="34"/>
        <v>11632.409325715436</v>
      </c>
      <c r="X75" s="12">
        <f t="shared" si="35"/>
        <v>1660.3603478889345</v>
      </c>
      <c r="Y75" s="14">
        <f t="shared" si="36"/>
        <v>-230.35018572576109</v>
      </c>
      <c r="Z75" s="14">
        <f t="shared" si="37"/>
        <v>69.252569722977398</v>
      </c>
      <c r="AA75" s="14">
        <f t="shared" si="38"/>
        <v>20.211883716166184</v>
      </c>
      <c r="AB75" s="16">
        <f t="shared" si="39"/>
        <v>-26.668723910105314</v>
      </c>
      <c r="AC75" s="16">
        <f t="shared" si="40"/>
        <v>413.60030084573987</v>
      </c>
      <c r="AD75" s="16">
        <f t="shared" si="41"/>
        <v>763.44157395198863</v>
      </c>
      <c r="AE75" s="18">
        <f t="shared" si="42"/>
        <v>26666.575344681158</v>
      </c>
      <c r="AF75" s="18">
        <f t="shared" si="43"/>
        <v>8169.7808395665661</v>
      </c>
      <c r="AG75" s="18">
        <f t="shared" si="44"/>
        <v>649.76616208062535</v>
      </c>
      <c r="AH75" s="18">
        <f t="shared" si="45"/>
        <v>-13815.629862887836</v>
      </c>
      <c r="AI75" s="18">
        <f t="shared" si="46"/>
        <v>-32312.42436800243</v>
      </c>
      <c r="AJ75" s="18">
        <f t="shared" si="47"/>
        <v>-39832.439045488369</v>
      </c>
    </row>
    <row r="76" spans="6:36" x14ac:dyDescent="0.4">
      <c r="F76">
        <v>41400</v>
      </c>
      <c r="G76" s="6">
        <f t="shared" si="26"/>
        <v>0.3873128050285416</v>
      </c>
      <c r="H76" s="6">
        <f>(LN($D$13/$F76)+(sigma2^2/2))*(rate2+TimeofExpiration2)/(sigma2*SQRT(TimeofExpiration2))</f>
        <v>-0.85683638129197703</v>
      </c>
      <c r="I76" s="6">
        <f>(LN($E$13/$F76)+(sigma2^2/2))*(rate2+TimeofExpiration2)/(sigma2*SQRT(TimeofExpiration2))</f>
        <v>-2.164815388174516</v>
      </c>
      <c r="J76">
        <f t="shared" ref="J76:J112" si="48">$G76-sigma2*SQRT(TimeofExpiration2)</f>
        <v>0.34731280502854162</v>
      </c>
      <c r="K76">
        <f t="shared" ref="K76:K112" si="49">$H76-sigma2*SQRT(TimeofExpiration2)</f>
        <v>-0.89683638129197707</v>
      </c>
      <c r="L76">
        <f t="shared" si="29"/>
        <v>-2.2048153881745161</v>
      </c>
      <c r="M76" s="8">
        <f t="shared" si="22"/>
        <v>0.65073767656425296</v>
      </c>
      <c r="N76" s="8">
        <f t="shared" si="22"/>
        <v>0.19576765807766264</v>
      </c>
      <c r="O76" s="8">
        <f t="shared" si="22"/>
        <v>1.5200912945058279E-2</v>
      </c>
      <c r="P76" s="8">
        <f t="shared" si="23"/>
        <v>-0.34926232343574704</v>
      </c>
      <c r="Q76" s="8">
        <f t="shared" si="23"/>
        <v>-0.80423234192233739</v>
      </c>
      <c r="R76" s="8">
        <f t="shared" si="23"/>
        <v>-0.98479908705494168</v>
      </c>
      <c r="S76" s="10">
        <f t="shared" ref="S76:S112" si="50">(1/(Stock*sigma2*SQRT(TimeofExpiration2)))*_xlfn.NORM.S.DIST($G76,FALSE)</f>
        <v>2.2030596890766741E-4</v>
      </c>
      <c r="T76" s="10">
        <f t="shared" ref="T76:T112" si="51">(1/($D$13*sigma2*SQRT(TimeofExpiration2)))*_xlfn.NORM.S.DIST($H76,FALSE)</f>
        <v>1.727298519141039E-4</v>
      </c>
      <c r="U76" s="10">
        <f t="shared" ref="U76:U112" si="52">(1/($E$13*sigma2*SQRT(TimeofExpiration2)))*_xlfn.NORM.S.DIST($I76,FALSE)</f>
        <v>2.5201249546853933E-5</v>
      </c>
      <c r="V76" s="12">
        <f t="shared" ref="V76:V112" si="53">Stock*SQRT(TimeofExpiration2)*_xlfn.NORM.S.DIST(G76,FALSE)</f>
        <v>15544.789166125012</v>
      </c>
      <c r="W76" s="12">
        <f t="shared" ref="W76:W112" si="54">$D$13*SQRT(TimeofExpiration2)*_xlfn.NORM.S.DIST($H76,FALSE)</f>
        <v>11054.710522502648</v>
      </c>
      <c r="X76" s="12">
        <f t="shared" ref="X76:X112" si="55">$E$13*SQRT(TimeofExpiration2)*_xlfn.NORM.S.DIST($I76,FALSE)</f>
        <v>1455.6241738262831</v>
      </c>
      <c r="Y76" s="14">
        <f t="shared" ref="Y76:Y112" si="56">(Stock*sigma2*_xlfn.NORM.S.DIST($G76,FALSE)/2*SQRT(TimeofExpiration2))-rate2*$F76*EXP(-rate2*TimeofExpiration2)*_xlfn.NORM.S.DIST($J76,TRUE)</f>
        <v>-205.14007937163802</v>
      </c>
      <c r="Z76" s="14">
        <f t="shared" ref="Z76:Z112" si="57">($D$13*sigma2*_xlfn.NORM.S.DIST($H76,FALSE)/2*SQRT(TimeofExpiration2))-rate2*$F76*EXP(-rate2*TimeofExpiration2)*_xlfn.NORM.S.DIST($K76,TRUE)</f>
        <v>71.026009364977455</v>
      </c>
      <c r="AA76" s="14">
        <f t="shared" ref="AA76:AA112" si="58">($E$13*sigma2*_xlfn.NORM.S.DIST($I76,FALSE)/2*SQRT(TimeofExpiration2))-rate2*$F76*EXP(-rate2*TimeofExpiration2)*_xlfn.NORM.S.DIST($L76,TRUE)</f>
        <v>17.966292043846749</v>
      </c>
      <c r="AB76" s="16">
        <f t="shared" ref="AB76:AB112" si="59">-(Stock*sigma2*_xlfn.NORM.S.DIST($G76,FALSE)/2*SQRT(TimeofExpiration2))+rate2*$F76*EXP(-rate2*TimeofExpiration2)*_xlfn.NORM.S.DIST(-$J76,TRUE)</f>
        <v>-15.327144518645071</v>
      </c>
      <c r="AC76" s="16">
        <f t="shared" ref="AC76:AC112" si="60">-($D$13*sigma2*_xlfn.NORM.S.DIST($H76,FALSE)/2*SQRT(TimeofExpiration2))+rate2*$F76*EXP(-rate2*TimeofExpiration2)*_xlfn.NORM.S.DIST(-$K76,TRUE)</f>
        <v>440.44208996286488</v>
      </c>
      <c r="AD76" s="16">
        <f t="shared" ref="AD76:AD112" si="61">-($E$13*sigma2*_xlfn.NORM.S.DIST($I76,FALSE)/2*SQRT(TimeofExpiration2))+rate2*$F76*EXP(-rate2*TimeofExpiration2)*_xlfn.NORM.S.DIST(-$L76,TRUE)</f>
        <v>771.3458265887889</v>
      </c>
      <c r="AE76" s="18">
        <f t="shared" ref="AE76:AE112" si="62">$F76*TimeofExpiration2*EXP(-rate2*TimeofExpiration2)*_xlfn.NORM.S.DIST($J76,TRUE)</f>
        <v>25801.79313470691</v>
      </c>
      <c r="AF76" s="18">
        <f t="shared" ref="AF76:AF112" si="63">$F76*TimeofExpiration2*EXP(-rate2*TimeofExpiration2)*_xlfn.NORM.S.DIST($K76,TRUE)</f>
        <v>7503.4100542537753</v>
      </c>
      <c r="AG76" s="18">
        <f t="shared" ref="AG76:AG112" si="64">$F76*TimeofExpiration2*EXP(-rate2*TimeofExpiration2)*_xlfn.NORM.S.DIST($L76,TRUE)</f>
        <v>557.30957163394567</v>
      </c>
      <c r="AH76" s="18">
        <f t="shared" ref="AH76:AH112" si="65">-$F76*TimeofExpiration2*EXP(-rate2*TimeofExpiration2)*_xlfn.NORM.S.DIST(-$J76,TRUE)</f>
        <v>-14778.431940192757</v>
      </c>
      <c r="AI76" s="18">
        <f t="shared" ref="AI76:AI112" si="66">-$F76*TimeofExpiration2*EXP(-rate2*TimeofExpiration2)*_xlfn.NORM.S.DIST(-$K76,TRUE)</f>
        <v>-33076.815020645889</v>
      </c>
      <c r="AJ76" s="18">
        <f t="shared" si="47"/>
        <v>-40022.915503265722</v>
      </c>
    </row>
    <row r="77" spans="6:36" x14ac:dyDescent="0.4">
      <c r="F77">
        <v>41500</v>
      </c>
      <c r="G77" s="6">
        <f t="shared" si="26"/>
        <v>0.32579287169124832</v>
      </c>
      <c r="H77" s="6">
        <f>(LN($D$13/$F77)+(sigma2^2/2))*(rate2+TimeofExpiration2)/(sigma2*SQRT(TimeofExpiration2))</f>
        <v>-0.91835631462926604</v>
      </c>
      <c r="I77" s="6">
        <f>(LN($E$13/$F77)+(sigma2^2/2))*(rate2+TimeofExpiration2)/(sigma2*SQRT(TimeofExpiration2))</f>
        <v>-2.2263353215118062</v>
      </c>
      <c r="J77">
        <f t="shared" si="48"/>
        <v>0.28579287169124834</v>
      </c>
      <c r="K77">
        <f t="shared" si="49"/>
        <v>-0.95835631462926607</v>
      </c>
      <c r="L77">
        <f t="shared" si="29"/>
        <v>-2.2663353215118063</v>
      </c>
      <c r="M77" s="8">
        <f t="shared" ref="M77:O112" si="67">_xlfn.NORM.S.DIST(G77,TRUE)</f>
        <v>0.62770946383988246</v>
      </c>
      <c r="N77" s="8">
        <f t="shared" si="67"/>
        <v>0.17921617677755158</v>
      </c>
      <c r="O77" s="8">
        <f t="shared" si="67"/>
        <v>1.2995864624166374E-2</v>
      </c>
      <c r="P77" s="8">
        <f t="shared" ref="P77:R112" si="68">M77-1</f>
        <v>-0.37229053616011754</v>
      </c>
      <c r="Q77" s="8">
        <f t="shared" si="68"/>
        <v>-0.82078382322244847</v>
      </c>
      <c r="R77" s="8">
        <f t="shared" si="68"/>
        <v>-0.98700413537583365</v>
      </c>
      <c r="S77" s="10">
        <f t="shared" si="50"/>
        <v>2.251917935179521E-4</v>
      </c>
      <c r="T77" s="10">
        <f t="shared" si="51"/>
        <v>1.6355085082817456E-4</v>
      </c>
      <c r="U77" s="10">
        <f t="shared" si="52"/>
        <v>2.2017155149561465E-5</v>
      </c>
      <c r="V77" s="12">
        <f t="shared" si="53"/>
        <v>15889.532950626699</v>
      </c>
      <c r="W77" s="12">
        <f t="shared" si="54"/>
        <v>10467.254453003172</v>
      </c>
      <c r="X77" s="12">
        <f t="shared" si="55"/>
        <v>1271.7108814386702</v>
      </c>
      <c r="Y77" s="14">
        <f t="shared" si="56"/>
        <v>-180.50288491427312</v>
      </c>
      <c r="Z77" s="14">
        <f t="shared" si="57"/>
        <v>71.900167587733449</v>
      </c>
      <c r="AA77" s="14">
        <f t="shared" si="58"/>
        <v>15.902954858167165</v>
      </c>
      <c r="AB77" s="16">
        <f t="shared" si="59"/>
        <v>-2.5193040947341956</v>
      </c>
      <c r="AC77" s="16">
        <f t="shared" si="60"/>
        <v>466.77488831221353</v>
      </c>
      <c r="AD77" s="16">
        <f t="shared" si="61"/>
        <v>778.59941844522723</v>
      </c>
      <c r="AE77" s="18">
        <f t="shared" si="62"/>
        <v>24914.677196340355</v>
      </c>
      <c r="AF77" s="18">
        <f t="shared" si="63"/>
        <v>6872.2460736164985</v>
      </c>
      <c r="AG77" s="18">
        <f t="shared" si="64"/>
        <v>476.56313853031202</v>
      </c>
      <c r="AH77" s="18">
        <f t="shared" si="65"/>
        <v>-15763.567745889986</v>
      </c>
      <c r="AI77" s="18">
        <f t="shared" si="66"/>
        <v>-33805.998868613839</v>
      </c>
      <c r="AJ77" s="18">
        <f t="shared" si="47"/>
        <v>-40201.681803700027</v>
      </c>
    </row>
    <row r="78" spans="6:36" x14ac:dyDescent="0.4">
      <c r="F78">
        <v>41600</v>
      </c>
      <c r="G78" s="6">
        <f t="shared" si="26"/>
        <v>0.26442100091184212</v>
      </c>
      <c r="H78" s="6">
        <f>(LN($D$13/$F78)+(sigma2^2/2))*(rate2+TimeofExpiration2)/(sigma2*SQRT(TimeofExpiration2))</f>
        <v>-0.97972818540867224</v>
      </c>
      <c r="I78" s="6">
        <f>(LN($E$13/$F78)+(sigma2^2/2))*(rate2+TimeofExpiration2)/(sigma2*SQRT(TimeofExpiration2))</f>
        <v>-2.2877071922912124</v>
      </c>
      <c r="J78">
        <f t="shared" si="48"/>
        <v>0.22442100091184211</v>
      </c>
      <c r="K78">
        <f t="shared" si="49"/>
        <v>-1.0197281854086722</v>
      </c>
      <c r="L78">
        <f t="shared" si="29"/>
        <v>-2.3277071922912125</v>
      </c>
      <c r="M78" s="8">
        <f t="shared" si="67"/>
        <v>0.60427223457828405</v>
      </c>
      <c r="N78" s="8">
        <f t="shared" si="67"/>
        <v>0.16361015468365714</v>
      </c>
      <c r="O78" s="8">
        <f t="shared" si="67"/>
        <v>1.1077289290263232E-2</v>
      </c>
      <c r="P78" s="8">
        <f t="shared" si="68"/>
        <v>-0.39572776542171595</v>
      </c>
      <c r="Q78" s="8">
        <f t="shared" si="68"/>
        <v>-0.83638984531634286</v>
      </c>
      <c r="R78" s="8">
        <f t="shared" si="68"/>
        <v>-0.98892271070973681</v>
      </c>
      <c r="S78" s="10">
        <f t="shared" si="50"/>
        <v>2.2930745916704598E-4</v>
      </c>
      <c r="T78" s="10">
        <f t="shared" si="51"/>
        <v>1.5429702181045943E-4</v>
      </c>
      <c r="U78" s="10">
        <f t="shared" si="52"/>
        <v>1.9169190181054663E-5</v>
      </c>
      <c r="V78" s="12">
        <f t="shared" si="53"/>
        <v>16179.934318826765</v>
      </c>
      <c r="W78" s="12">
        <f t="shared" si="54"/>
        <v>9875.0093958694033</v>
      </c>
      <c r="X78" s="12">
        <f t="shared" si="55"/>
        <v>1107.2124248577175</v>
      </c>
      <c r="Y78" s="14">
        <f t="shared" si="56"/>
        <v>-156.57048481264064</v>
      </c>
      <c r="Z78" s="14">
        <f t="shared" si="57"/>
        <v>71.967443145472046</v>
      </c>
      <c r="AA78" s="14">
        <f t="shared" si="58"/>
        <v>14.018494316967374</v>
      </c>
      <c r="AB78" s="16">
        <f t="shared" si="59"/>
        <v>11.757438625509167</v>
      </c>
      <c r="AC78" s="16">
        <f t="shared" si="60"/>
        <v>492.49236350191632</v>
      </c>
      <c r="AD78" s="16">
        <f t="shared" si="61"/>
        <v>785.25529351387911</v>
      </c>
      <c r="AE78" s="18">
        <f t="shared" si="62"/>
        <v>24008.458559458799</v>
      </c>
      <c r="AF78" s="18">
        <f t="shared" si="63"/>
        <v>6276.6372385958002</v>
      </c>
      <c r="AG78" s="18">
        <f t="shared" si="64"/>
        <v>406.28770900934882</v>
      </c>
      <c r="AH78" s="18">
        <f t="shared" si="65"/>
        <v>-16767.806250102225</v>
      </c>
      <c r="AI78" s="18">
        <f t="shared" si="66"/>
        <v>-34499.627570965218</v>
      </c>
      <c r="AJ78" s="18">
        <f t="shared" si="47"/>
        <v>-40369.977100551674</v>
      </c>
    </row>
    <row r="79" spans="6:36" x14ac:dyDescent="0.4">
      <c r="F79">
        <v>41700</v>
      </c>
      <c r="G79" s="6">
        <f t="shared" si="26"/>
        <v>0.20319648170461871</v>
      </c>
      <c r="H79" s="6">
        <f>(LN($D$13/$F79)+(sigma2^2/2))*(rate2+TimeofExpiration2)/(sigma2*SQRT(TimeofExpiration2))</f>
        <v>-1.0409527046158953</v>
      </c>
      <c r="I79" s="6">
        <f>(LN($E$13/$F79)+(sigma2^2/2))*(rate2+TimeofExpiration2)/(sigma2*SQRT(TimeofExpiration2))</f>
        <v>-2.3489317114984356</v>
      </c>
      <c r="J79">
        <f t="shared" si="48"/>
        <v>0.1631964817046187</v>
      </c>
      <c r="K79">
        <f t="shared" si="49"/>
        <v>-1.0809527046158953</v>
      </c>
      <c r="L79">
        <f t="shared" si="29"/>
        <v>-2.3889317114984356</v>
      </c>
      <c r="M79" s="8">
        <f t="shared" si="67"/>
        <v>0.58050926866600705</v>
      </c>
      <c r="N79" s="8">
        <f t="shared" si="67"/>
        <v>0.14894874953815879</v>
      </c>
      <c r="O79" s="8">
        <f t="shared" si="67"/>
        <v>9.4136797089444321E-3</v>
      </c>
      <c r="P79" s="8">
        <f t="shared" si="68"/>
        <v>-0.41949073133399295</v>
      </c>
      <c r="Q79" s="8">
        <f t="shared" si="68"/>
        <v>-0.85105125046184127</v>
      </c>
      <c r="R79" s="8">
        <f t="shared" si="68"/>
        <v>-0.99058632029105553</v>
      </c>
      <c r="S79" s="10">
        <f t="shared" si="50"/>
        <v>2.3261356264759589E-4</v>
      </c>
      <c r="T79" s="10">
        <f t="shared" si="51"/>
        <v>1.450417816042067E-4</v>
      </c>
      <c r="U79" s="10">
        <f t="shared" si="52"/>
        <v>1.6632628164615775E-5</v>
      </c>
      <c r="V79" s="12">
        <f t="shared" si="53"/>
        <v>16413.212980414366</v>
      </c>
      <c r="W79" s="12">
        <f t="shared" si="54"/>
        <v>9282.6740226692291</v>
      </c>
      <c r="X79" s="12">
        <f t="shared" si="55"/>
        <v>960.70060278820722</v>
      </c>
      <c r="Y79" s="14">
        <f t="shared" si="56"/>
        <v>-133.4664826438401</v>
      </c>
      <c r="Z79" s="14">
        <f t="shared" si="57"/>
        <v>71.320686551475475</v>
      </c>
      <c r="AA79" s="14">
        <f t="shared" si="58"/>
        <v>12.307303171100015</v>
      </c>
      <c r="AB79" s="16">
        <f t="shared" si="59"/>
        <v>27.490691677419136</v>
      </c>
      <c r="AC79" s="16">
        <f t="shared" si="60"/>
        <v>517.49941918254024</v>
      </c>
      <c r="AD79" s="16">
        <f t="shared" si="61"/>
        <v>791.36497259740565</v>
      </c>
      <c r="AE79" s="18">
        <f t="shared" si="62"/>
        <v>23086.537112606373</v>
      </c>
      <c r="AF79" s="18">
        <f t="shared" si="63"/>
        <v>5716.639695095454</v>
      </c>
      <c r="AG79" s="18">
        <f t="shared" si="64"/>
        <v>345.33544423320643</v>
      </c>
      <c r="AH79" s="18">
        <f t="shared" si="65"/>
        <v>-17787.747564285321</v>
      </c>
      <c r="AI79" s="18">
        <f t="shared" si="66"/>
        <v>-35157.644981796235</v>
      </c>
      <c r="AJ79" s="18">
        <f t="shared" si="47"/>
        <v>-40528.949232658488</v>
      </c>
    </row>
    <row r="80" spans="6:36" x14ac:dyDescent="0.4">
      <c r="F80">
        <v>41800</v>
      </c>
      <c r="G80" s="6">
        <f t="shared" si="26"/>
        <v>0.14211860819276856</v>
      </c>
      <c r="H80" s="6">
        <f>(LN($D$13/$F80)+(sigma2^2/2))*(rate2+TimeofExpiration2)/(sigma2*SQRT(TimeofExpiration2))</f>
        <v>-1.1020305781277453</v>
      </c>
      <c r="I80" s="6">
        <f>(LN($E$13/$F80)+(sigma2^2/2))*(rate2+TimeofExpiration2)/(sigma2*SQRT(TimeofExpiration2))</f>
        <v>-2.4100095850102852</v>
      </c>
      <c r="J80">
        <f t="shared" si="48"/>
        <v>0.10211860819276855</v>
      </c>
      <c r="K80">
        <f t="shared" si="49"/>
        <v>-1.1420305781277453</v>
      </c>
      <c r="L80">
        <f t="shared" si="29"/>
        <v>-2.4500095850102852</v>
      </c>
      <c r="M80" s="8">
        <f t="shared" si="67"/>
        <v>0.55650683992360062</v>
      </c>
      <c r="N80" s="8">
        <f t="shared" si="67"/>
        <v>0.13522418905862385</v>
      </c>
      <c r="O80" s="8">
        <f t="shared" si="67"/>
        <v>7.9760507121437816E-3</v>
      </c>
      <c r="P80" s="8">
        <f t="shared" si="68"/>
        <v>-0.44349316007639938</v>
      </c>
      <c r="Q80" s="8">
        <f t="shared" si="68"/>
        <v>-0.86477581094137612</v>
      </c>
      <c r="R80" s="8">
        <f t="shared" si="68"/>
        <v>-0.9920239492878562</v>
      </c>
      <c r="S80" s="10">
        <f t="shared" si="50"/>
        <v>2.350795818448923E-4</v>
      </c>
      <c r="T80" s="10">
        <f t="shared" si="51"/>
        <v>1.3585354343467905E-4</v>
      </c>
      <c r="U80" s="10">
        <f t="shared" si="52"/>
        <v>1.438280377948905E-5</v>
      </c>
      <c r="V80" s="12">
        <f t="shared" si="53"/>
        <v>16587.215294975598</v>
      </c>
      <c r="W80" s="12">
        <f t="shared" si="54"/>
        <v>8694.6267798194604</v>
      </c>
      <c r="X80" s="12">
        <f t="shared" si="55"/>
        <v>830.75074630328754</v>
      </c>
      <c r="Y80" s="14">
        <f t="shared" si="56"/>
        <v>-111.30457503965232</v>
      </c>
      <c r="Z80" s="14">
        <f t="shared" si="57"/>
        <v>70.051790379059753</v>
      </c>
      <c r="AA80" s="14">
        <f t="shared" si="58"/>
        <v>10.762022399791315</v>
      </c>
      <c r="AB80" s="16">
        <f t="shared" si="59"/>
        <v>44.652904045771095</v>
      </c>
      <c r="AC80" s="16">
        <f t="shared" si="60"/>
        <v>541.71281007072866</v>
      </c>
      <c r="AD80" s="16">
        <f t="shared" si="61"/>
        <v>796.97808343210716</v>
      </c>
      <c r="AE80" s="18">
        <f t="shared" si="62"/>
        <v>22152.444046958211</v>
      </c>
      <c r="AF80" s="18">
        <f t="shared" si="63"/>
        <v>5192.037260866472</v>
      </c>
      <c r="AG80" s="18">
        <f t="shared" si="64"/>
        <v>292.6496263137218</v>
      </c>
      <c r="AH80" s="18">
        <f t="shared" si="65"/>
        <v>-18819.860497264155</v>
      </c>
      <c r="AI80" s="18">
        <f t="shared" si="66"/>
        <v>-35780.26728335589</v>
      </c>
      <c r="AJ80" s="18">
        <f t="shared" si="47"/>
        <v>-40679.654917908643</v>
      </c>
    </row>
    <row r="81" spans="6:36" x14ac:dyDescent="0.4">
      <c r="F81">
        <v>41900</v>
      </c>
      <c r="G81" s="6">
        <f t="shared" si="26"/>
        <v>8.1186679559543035E-2</v>
      </c>
      <c r="H81" s="6">
        <f>(LN($D$13/$F81)+(sigma2^2/2))*(rate2+TimeofExpiration2)/(sigma2*SQRT(TimeofExpiration2))</f>
        <v>-1.1629625067609728</v>
      </c>
      <c r="I81" s="6">
        <f>(LN($E$13/$F81)+(sigma2^2/2))*(rate2+TimeofExpiration2)/(sigma2*SQRT(TimeofExpiration2))</f>
        <v>-2.4709415136435116</v>
      </c>
      <c r="J81">
        <f t="shared" si="48"/>
        <v>4.1186679559543034E-2</v>
      </c>
      <c r="K81">
        <f t="shared" si="49"/>
        <v>-1.2029625067609728</v>
      </c>
      <c r="L81">
        <f t="shared" si="29"/>
        <v>-2.5109415136435116</v>
      </c>
      <c r="M81" s="8">
        <f t="shared" si="67"/>
        <v>0.53235325364160879</v>
      </c>
      <c r="N81" s="8">
        <f t="shared" si="67"/>
        <v>0.12242235737841539</v>
      </c>
      <c r="O81" s="8">
        <f t="shared" si="67"/>
        <v>6.7378928046874613E-3</v>
      </c>
      <c r="P81" s="8">
        <f t="shared" si="68"/>
        <v>-0.46764674635839121</v>
      </c>
      <c r="Q81" s="8">
        <f t="shared" si="68"/>
        <v>-0.87757764262158466</v>
      </c>
      <c r="R81" s="8">
        <f t="shared" si="68"/>
        <v>-0.99326210719531249</v>
      </c>
      <c r="S81" s="10">
        <f t="shared" si="50"/>
        <v>2.3668433035697685E-4</v>
      </c>
      <c r="T81" s="10">
        <f t="shared" si="51"/>
        <v>1.2679507752462259E-4</v>
      </c>
      <c r="U81" s="10">
        <f t="shared" si="52"/>
        <v>1.2395461889795873E-5</v>
      </c>
      <c r="V81" s="12">
        <f t="shared" si="53"/>
        <v>16700.446349988284</v>
      </c>
      <c r="W81" s="12">
        <f t="shared" si="54"/>
        <v>8114.8849615758454</v>
      </c>
      <c r="X81" s="12">
        <f t="shared" si="55"/>
        <v>715.96187875460964</v>
      </c>
      <c r="Y81" s="14">
        <f t="shared" si="56"/>
        <v>-90.187120881384828</v>
      </c>
      <c r="Z81" s="14">
        <f t="shared" si="57"/>
        <v>68.250422553700616</v>
      </c>
      <c r="AA81" s="14">
        <f t="shared" si="58"/>
        <v>9.3739744172763615</v>
      </c>
      <c r="AB81" s="16">
        <f t="shared" si="59"/>
        <v>63.20151335014458</v>
      </c>
      <c r="AC81" s="16">
        <f t="shared" si="60"/>
        <v>565.06151232172761</v>
      </c>
      <c r="AD81" s="16">
        <f t="shared" si="61"/>
        <v>802.14198749815284</v>
      </c>
      <c r="AE81" s="18">
        <f t="shared" si="62"/>
        <v>21209.802394057529</v>
      </c>
      <c r="AF81" s="18">
        <f t="shared" si="63"/>
        <v>4702.3638338908149</v>
      </c>
      <c r="AG81" s="18">
        <f t="shared" si="64"/>
        <v>247.26315789079169</v>
      </c>
      <c r="AH81" s="18">
        <f t="shared" si="65"/>
        <v>-19860.522017495518</v>
      </c>
      <c r="AI81" s="18">
        <f t="shared" si="66"/>
        <v>-36367.960577662234</v>
      </c>
      <c r="AJ81" s="18">
        <f t="shared" si="47"/>
        <v>-40823.061253662258</v>
      </c>
    </row>
    <row r="82" spans="6:36" x14ac:dyDescent="0.4">
      <c r="F82">
        <v>42000</v>
      </c>
      <c r="G82" s="6">
        <f t="shared" si="26"/>
        <v>2.0400000000000001E-2</v>
      </c>
      <c r="H82" s="6">
        <f>(LN($D$13/$F82)+(sigma2^2/2))*(rate2+TimeofExpiration2)/(sigma2*SQRT(TimeofExpiration2))</f>
        <v>-1.2237491863205174</v>
      </c>
      <c r="I82" s="6">
        <f>(LN($E$13/$F82)+(sigma2^2/2))*(rate2+TimeofExpiration2)/(sigma2*SQRT(TimeofExpiration2))</f>
        <v>-2.5317281932030546</v>
      </c>
      <c r="J82">
        <f t="shared" si="48"/>
        <v>-1.9599999999999999E-2</v>
      </c>
      <c r="K82">
        <f t="shared" si="49"/>
        <v>-1.2637491863205175</v>
      </c>
      <c r="L82">
        <f t="shared" si="29"/>
        <v>-2.5717281932030547</v>
      </c>
      <c r="M82" s="8">
        <f t="shared" si="67"/>
        <v>0.50813785807443868</v>
      </c>
      <c r="N82" s="8">
        <f t="shared" si="67"/>
        <v>0.11052342923578644</v>
      </c>
      <c r="O82" s="8">
        <f t="shared" si="67"/>
        <v>5.6750968378512338E-3</v>
      </c>
      <c r="P82" s="8">
        <f t="shared" si="68"/>
        <v>-0.49186214192556132</v>
      </c>
      <c r="Q82" s="8">
        <f t="shared" si="68"/>
        <v>-0.8894765707642136</v>
      </c>
      <c r="R82" s="8">
        <f t="shared" si="68"/>
        <v>-0.99432490316214872</v>
      </c>
      <c r="S82" s="10">
        <f t="shared" si="50"/>
        <v>2.3741623638552788E-4</v>
      </c>
      <c r="T82" s="10">
        <f t="shared" si="51"/>
        <v>1.1792302499110809E-4</v>
      </c>
      <c r="U82" s="10">
        <f t="shared" si="52"/>
        <v>1.0647047128594204E-5</v>
      </c>
      <c r="V82" s="12">
        <f t="shared" si="53"/>
        <v>16752.089639362846</v>
      </c>
      <c r="W82" s="12">
        <f t="shared" si="54"/>
        <v>7547.073599430918</v>
      </c>
      <c r="X82" s="12">
        <f t="shared" si="55"/>
        <v>614.97344214760119</v>
      </c>
      <c r="Y82" s="14">
        <f t="shared" si="56"/>
        <v>-70.203935276022037</v>
      </c>
      <c r="Z82" s="14">
        <f t="shared" si="57"/>
        <v>66.00291741810338</v>
      </c>
      <c r="AA82" s="14">
        <f t="shared" si="58"/>
        <v>8.133549265780962</v>
      </c>
      <c r="AB82" s="16">
        <f t="shared" si="59"/>
        <v>83.079364727138454</v>
      </c>
      <c r="AC82" s="16">
        <f t="shared" si="60"/>
        <v>587.48685901854117</v>
      </c>
      <c r="AD82" s="16">
        <f t="shared" si="61"/>
        <v>806.90149715755138</v>
      </c>
      <c r="AE82" s="18">
        <f t="shared" si="62"/>
        <v>20262.286403163947</v>
      </c>
      <c r="AF82" s="18">
        <f t="shared" si="63"/>
        <v>4246.9277285257485</v>
      </c>
      <c r="AG82" s="18">
        <f t="shared" si="64"/>
        <v>208.29597885855307</v>
      </c>
      <c r="AH82" s="18">
        <f t="shared" si="65"/>
        <v>-20906.057875719769</v>
      </c>
      <c r="AI82" s="18">
        <f t="shared" si="66"/>
        <v>-36921.416550357972</v>
      </c>
      <c r="AJ82" s="18">
        <f t="shared" si="47"/>
        <v>-40960.04830002517</v>
      </c>
    </row>
    <row r="83" spans="6:36" x14ac:dyDescent="0.4">
      <c r="F83">
        <v>42100</v>
      </c>
      <c r="G83" s="6">
        <f t="shared" si="26"/>
        <v>-4.0242121326669614E-2</v>
      </c>
      <c r="H83" s="6">
        <f>(LN($D$13/$F83)+(sigma2^2/2))*(rate2+TimeofExpiration2)/(sigma2*SQRT(TimeofExpiration2))</f>
        <v>-1.2843913076471869</v>
      </c>
      <c r="I83" s="6">
        <f>(LN($E$13/$F83)+(sigma2^2/2))*(rate2+TimeofExpiration2)/(sigma2*SQRT(TimeofExpiration2))</f>
        <v>-2.5923703145297243</v>
      </c>
      <c r="J83">
        <f t="shared" si="48"/>
        <v>-8.0242121326669608E-2</v>
      </c>
      <c r="K83">
        <f t="shared" si="49"/>
        <v>-1.3243913076471869</v>
      </c>
      <c r="L83">
        <f t="shared" si="29"/>
        <v>-2.6323703145297244</v>
      </c>
      <c r="M83" s="8">
        <f t="shared" si="67"/>
        <v>0.48395004842432904</v>
      </c>
      <c r="N83" s="8">
        <f t="shared" si="67"/>
        <v>9.9502536419754123E-2</v>
      </c>
      <c r="O83" s="8">
        <f t="shared" si="67"/>
        <v>4.7658555180461791E-3</v>
      </c>
      <c r="P83" s="8">
        <f t="shared" si="68"/>
        <v>-0.51604995157567091</v>
      </c>
      <c r="Q83" s="8">
        <f t="shared" si="68"/>
        <v>-0.90049746358024585</v>
      </c>
      <c r="R83" s="8">
        <f t="shared" si="68"/>
        <v>-0.9952341444819538</v>
      </c>
      <c r="S83" s="10">
        <f t="shared" si="50"/>
        <v>2.3727344162593691E-4</v>
      </c>
      <c r="T83" s="10">
        <f t="shared" si="51"/>
        <v>1.0928756299823951E-4</v>
      </c>
      <c r="U83" s="10">
        <f t="shared" si="52"/>
        <v>9.114936914949482E-6</v>
      </c>
      <c r="V83" s="12">
        <f t="shared" si="53"/>
        <v>16742.014041126105</v>
      </c>
      <c r="W83" s="12">
        <f t="shared" si="54"/>
        <v>6994.4040318873294</v>
      </c>
      <c r="X83" s="12">
        <f t="shared" si="55"/>
        <v>526.47875620748209</v>
      </c>
      <c r="Y83" s="14">
        <f t="shared" si="56"/>
        <v>-51.431329595993304</v>
      </c>
      <c r="Z83" s="14">
        <f t="shared" si="57"/>
        <v>63.391333936348076</v>
      </c>
      <c r="AA83" s="14">
        <f t="shared" si="58"/>
        <v>7.0305428691238046</v>
      </c>
      <c r="AB83" s="16">
        <f t="shared" si="59"/>
        <v>104.2153916832504</v>
      </c>
      <c r="AC83" s="16">
        <f t="shared" si="60"/>
        <v>608.94245558514285</v>
      </c>
      <c r="AD83" s="16">
        <f t="shared" si="61"/>
        <v>811.29867554511236</v>
      </c>
      <c r="AE83" s="18">
        <f t="shared" si="62"/>
        <v>19313.580520925767</v>
      </c>
      <c r="AF83" s="18">
        <f t="shared" si="63"/>
        <v>3824.8373350699253</v>
      </c>
      <c r="AG83" s="18">
        <f t="shared" si="64"/>
        <v>174.95161275129189</v>
      </c>
      <c r="AH83" s="18">
        <f t="shared" si="65"/>
        <v>-21952.783625288623</v>
      </c>
      <c r="AI83" s="18">
        <f t="shared" si="66"/>
        <v>-37441.526811144468</v>
      </c>
      <c r="AJ83" s="18">
        <f t="shared" si="47"/>
        <v>-41091.412533463103</v>
      </c>
    </row>
    <row r="84" spans="6:36" x14ac:dyDescent="0.4">
      <c r="F84">
        <v>42200</v>
      </c>
      <c r="G84" s="6">
        <f t="shared" si="26"/>
        <v>-0.10074037034424553</v>
      </c>
      <c r="H84" s="6">
        <f>(LN($D$13/$F84)+(sigma2^2/2))*(rate2+TimeofExpiration2)/(sigma2*SQRT(TimeofExpiration2))</f>
        <v>-1.3448895566647598</v>
      </c>
      <c r="I84" s="6">
        <f>(LN($E$13/$F84)+(sigma2^2/2))*(rate2+TimeofExpiration2)/(sigma2*SQRT(TimeofExpiration2))</f>
        <v>-2.6528685635473002</v>
      </c>
      <c r="J84">
        <f t="shared" si="48"/>
        <v>-0.14074037034424552</v>
      </c>
      <c r="K84">
        <f t="shared" si="49"/>
        <v>-1.3848895566647599</v>
      </c>
      <c r="L84">
        <f t="shared" si="29"/>
        <v>-2.6928685635473002</v>
      </c>
      <c r="M84" s="8">
        <f t="shared" si="67"/>
        <v>0.45987828173476786</v>
      </c>
      <c r="N84" s="8">
        <f t="shared" si="67"/>
        <v>8.93304516245646E-2</v>
      </c>
      <c r="O84" s="8">
        <f t="shared" si="67"/>
        <v>3.9905471119391018E-3</v>
      </c>
      <c r="P84" s="8">
        <f t="shared" si="68"/>
        <v>-0.54012171826523214</v>
      </c>
      <c r="Q84" s="8">
        <f t="shared" si="68"/>
        <v>-0.91066954837543546</v>
      </c>
      <c r="R84" s="8">
        <f t="shared" si="68"/>
        <v>-0.99600945288806086</v>
      </c>
      <c r="S84" s="10">
        <f t="shared" si="50"/>
        <v>2.3626372058878256E-4</v>
      </c>
      <c r="T84" s="10">
        <f t="shared" si="51"/>
        <v>1.0093221538411774E-4</v>
      </c>
      <c r="U84" s="10">
        <f t="shared" si="52"/>
        <v>7.777621745278099E-6</v>
      </c>
      <c r="V84" s="12">
        <f t="shared" si="53"/>
        <v>16670.768124744496</v>
      </c>
      <c r="W84" s="12">
        <f t="shared" si="54"/>
        <v>6459.6617845835362</v>
      </c>
      <c r="X84" s="12">
        <f t="shared" si="55"/>
        <v>449.235432007263</v>
      </c>
      <c r="Y84" s="14">
        <f t="shared" si="56"/>
        <v>-33.931412165192398</v>
      </c>
      <c r="Z84" s="14">
        <f t="shared" si="57"/>
        <v>60.492685244199308</v>
      </c>
      <c r="AA84" s="14">
        <f t="shared" si="58"/>
        <v>6.0544478275588638</v>
      </c>
      <c r="AB84" s="16">
        <f t="shared" si="59"/>
        <v>126.52554311592922</v>
      </c>
      <c r="AC84" s="16">
        <f t="shared" si="60"/>
        <v>629.39389413175934</v>
      </c>
      <c r="AD84" s="16">
        <f t="shared" si="61"/>
        <v>815.37271081816971</v>
      </c>
      <c r="AE84" s="18">
        <f t="shared" si="62"/>
        <v>18367.338733004115</v>
      </c>
      <c r="AF84" s="18">
        <f t="shared" si="63"/>
        <v>3435.0275223735703</v>
      </c>
      <c r="AG84" s="18">
        <f t="shared" si="64"/>
        <v>146.51304062931976</v>
      </c>
      <c r="AH84" s="18">
        <f t="shared" si="65"/>
        <v>-22997.045280540955</v>
      </c>
      <c r="AI84" s="18">
        <f t="shared" si="66"/>
        <v>-37929.356491171508</v>
      </c>
      <c r="AJ84" s="18">
        <f t="shared" si="47"/>
        <v>-41217.870972915756</v>
      </c>
    </row>
    <row r="85" spans="6:36" x14ac:dyDescent="0.4">
      <c r="F85">
        <v>42300</v>
      </c>
      <c r="G85" s="6">
        <f t="shared" si="26"/>
        <v>-0.16109542810603172</v>
      </c>
      <c r="H85" s="6">
        <f>(LN($D$13/$F85)+(sigma2^2/2))*(rate2+TimeofExpiration2)/(sigma2*SQRT(TimeofExpiration2))</f>
        <v>-1.4052446144265465</v>
      </c>
      <c r="I85" s="6">
        <f>(LN($E$13/$F85)+(sigma2^2/2))*(rate2+TimeofExpiration2)/(sigma2*SQRT(TimeofExpiration2))</f>
        <v>-2.7132236213090875</v>
      </c>
      <c r="J85">
        <f t="shared" si="48"/>
        <v>-0.20109542810603173</v>
      </c>
      <c r="K85">
        <f t="shared" si="49"/>
        <v>-1.4452446144265465</v>
      </c>
      <c r="L85">
        <f t="shared" si="29"/>
        <v>-2.7532236213090875</v>
      </c>
      <c r="M85" s="8">
        <f t="shared" si="67"/>
        <v>0.43600912052948482</v>
      </c>
      <c r="N85" s="8">
        <f t="shared" si="67"/>
        <v>7.9974275825215005E-2</v>
      </c>
      <c r="O85" s="8">
        <f t="shared" si="67"/>
        <v>3.331606234150171E-3</v>
      </c>
      <c r="P85" s="8">
        <f t="shared" si="68"/>
        <v>-0.56399087947051518</v>
      </c>
      <c r="Q85" s="8">
        <f t="shared" si="68"/>
        <v>-0.92002572417478501</v>
      </c>
      <c r="R85" s="8">
        <f t="shared" si="68"/>
        <v>-0.99666839376584981</v>
      </c>
      <c r="S85" s="10">
        <f t="shared" si="50"/>
        <v>2.3440422537493496E-4</v>
      </c>
      <c r="T85" s="10">
        <f t="shared" si="51"/>
        <v>9.2893799830938398E-5</v>
      </c>
      <c r="U85" s="10">
        <f t="shared" si="52"/>
        <v>6.6148372977249101E-6</v>
      </c>
      <c r="V85" s="12">
        <f t="shared" si="53"/>
        <v>16539.562142455408</v>
      </c>
      <c r="W85" s="12">
        <f t="shared" si="54"/>
        <v>5945.2031891800571</v>
      </c>
      <c r="X85" s="12">
        <f t="shared" si="55"/>
        <v>382.07300231659082</v>
      </c>
      <c r="Y85" s="14">
        <f t="shared" si="56"/>
        <v>-17.751657246295906</v>
      </c>
      <c r="Z85" s="14">
        <f t="shared" si="57"/>
        <v>57.378338992046835</v>
      </c>
      <c r="AA85" s="14">
        <f t="shared" si="58"/>
        <v>5.1946983852985982</v>
      </c>
      <c r="AB85" s="16">
        <f t="shared" si="59"/>
        <v>149.91393467300264</v>
      </c>
      <c r="AC85" s="16">
        <f t="shared" si="60"/>
        <v>648.81828904235942</v>
      </c>
      <c r="AD85" s="16">
        <f t="shared" si="61"/>
        <v>819.15985591014976</v>
      </c>
      <c r="AE85" s="18">
        <f t="shared" si="62"/>
        <v>17427.145004770206</v>
      </c>
      <c r="AF85" s="18">
        <f t="shared" si="63"/>
        <v>3076.2862395777156</v>
      </c>
      <c r="AG85" s="18">
        <f t="shared" si="64"/>
        <v>122.3380830516609</v>
      </c>
      <c r="AH85" s="18">
        <f t="shared" si="65"/>
        <v>-24035.258876105541</v>
      </c>
      <c r="AI85" s="18">
        <f t="shared" si="66"/>
        <v>-38386.117641298028</v>
      </c>
      <c r="AJ85" s="18">
        <f t="shared" si="47"/>
        <v>-41340.065797824085</v>
      </c>
    </row>
    <row r="86" spans="6:36" x14ac:dyDescent="0.4">
      <c r="F86">
        <v>42400</v>
      </c>
      <c r="G86" s="6">
        <f t="shared" si="26"/>
        <v>-0.22130797084086612</v>
      </c>
      <c r="H86" s="6">
        <f>(LN($D$13/$F86)+(sigma2^2/2))*(rate2+TimeofExpiration2)/(sigma2*SQRT(TimeofExpiration2))</f>
        <v>-1.4654571571613819</v>
      </c>
      <c r="I86" s="6">
        <f>(LN($E$13/$F86)+(sigma2^2/2))*(rate2+TimeofExpiration2)/(sigma2*SQRT(TimeofExpiration2))</f>
        <v>-2.77343616404392</v>
      </c>
      <c r="J86">
        <f t="shared" si="48"/>
        <v>-0.2613079708408661</v>
      </c>
      <c r="K86">
        <f t="shared" si="49"/>
        <v>-1.505457157161382</v>
      </c>
      <c r="L86">
        <f t="shared" si="29"/>
        <v>-2.8134361640439201</v>
      </c>
      <c r="M86" s="8">
        <f t="shared" si="67"/>
        <v>0.41242632200866147</v>
      </c>
      <c r="N86" s="8">
        <f t="shared" si="67"/>
        <v>7.1398116505848042E-2</v>
      </c>
      <c r="O86" s="8">
        <f t="shared" si="67"/>
        <v>2.7733860849925044E-3</v>
      </c>
      <c r="P86" s="8">
        <f t="shared" si="68"/>
        <v>-0.58757367799133853</v>
      </c>
      <c r="Q86" s="8">
        <f t="shared" si="68"/>
        <v>-0.92860188349415196</v>
      </c>
      <c r="R86" s="8">
        <f t="shared" si="68"/>
        <v>-0.99722661391500744</v>
      </c>
      <c r="S86" s="10">
        <f t="shared" si="50"/>
        <v>2.3172106525521041E-4</v>
      </c>
      <c r="T86" s="10">
        <f t="shared" si="51"/>
        <v>8.5202500056760514E-5</v>
      </c>
      <c r="U86" s="10">
        <f t="shared" si="52"/>
        <v>5.6076533419526645E-6</v>
      </c>
      <c r="V86" s="12">
        <f t="shared" si="53"/>
        <v>16350.238364407645</v>
      </c>
      <c r="W86" s="12">
        <f t="shared" si="54"/>
        <v>5452.9600036326729</v>
      </c>
      <c r="X86" s="12">
        <f t="shared" si="55"/>
        <v>323.89805703118594</v>
      </c>
      <c r="Y86" s="14">
        <f t="shared" si="56"/>
        <v>-2.9247430604558531</v>
      </c>
      <c r="Z86" s="14">
        <f t="shared" si="57"/>
        <v>54.113583677266455</v>
      </c>
      <c r="AA86" s="14">
        <f t="shared" si="58"/>
        <v>4.4408721044810573</v>
      </c>
      <c r="AB86" s="16">
        <f t="shared" si="59"/>
        <v>174.27419732736666</v>
      </c>
      <c r="AC86" s="16">
        <f t="shared" si="60"/>
        <v>667.203658496088</v>
      </c>
      <c r="AD86" s="16">
        <f t="shared" si="61"/>
        <v>822.69342478736201</v>
      </c>
      <c r="AE86" s="18">
        <f t="shared" si="62"/>
        <v>16496.475517430441</v>
      </c>
      <c r="AF86" s="18">
        <f t="shared" si="63"/>
        <v>2747.2808197693507</v>
      </c>
      <c r="AG86" s="18">
        <f t="shared" si="64"/>
        <v>101.85445180713307</v>
      </c>
      <c r="AH86" s="18">
        <f t="shared" si="65"/>
        <v>-25063.948230775979</v>
      </c>
      <c r="AI86" s="18">
        <f t="shared" si="66"/>
        <v>-38813.142928437068</v>
      </c>
      <c r="AJ86" s="18">
        <f t="shared" si="47"/>
        <v>-41458.569296399291</v>
      </c>
    </row>
    <row r="87" spans="6:36" x14ac:dyDescent="0.4">
      <c r="F87">
        <v>42500</v>
      </c>
      <c r="G87" s="6">
        <f t="shared" si="26"/>
        <v>-0.28137866999857131</v>
      </c>
      <c r="H87" s="6">
        <f>(LN($D$13/$F87)+(sigma2^2/2))*(rate2+TimeofExpiration2)/(sigma2*SQRT(TimeofExpiration2))</f>
        <v>-1.5255278563190886</v>
      </c>
      <c r="I87" s="6">
        <f>(LN($E$13/$F87)+(sigma2^2/2))*(rate2+TimeofExpiration2)/(sigma2*SQRT(TimeofExpiration2))</f>
        <v>-2.833506863201626</v>
      </c>
      <c r="J87">
        <f t="shared" si="48"/>
        <v>-0.32137866999857129</v>
      </c>
      <c r="K87">
        <f t="shared" si="49"/>
        <v>-1.5655278563190886</v>
      </c>
      <c r="L87">
        <f t="shared" si="29"/>
        <v>-2.8735068632016261</v>
      </c>
      <c r="M87" s="8">
        <f t="shared" si="67"/>
        <v>0.38920998819083419</v>
      </c>
      <c r="N87" s="8">
        <f t="shared" si="67"/>
        <v>6.356374549010281E-2</v>
      </c>
      <c r="O87" s="8">
        <f t="shared" si="67"/>
        <v>2.3020159655176148E-3</v>
      </c>
      <c r="P87" s="8">
        <f t="shared" si="68"/>
        <v>-0.61079001180916581</v>
      </c>
      <c r="Q87" s="8">
        <f t="shared" si="68"/>
        <v>-0.9364362545098972</v>
      </c>
      <c r="R87" s="8">
        <f t="shared" si="68"/>
        <v>-0.9976979840344824</v>
      </c>
      <c r="S87" s="10">
        <f t="shared" si="50"/>
        <v>2.2824873433948678E-4</v>
      </c>
      <c r="T87" s="10">
        <f t="shared" si="51"/>
        <v>7.7882049503415985E-5</v>
      </c>
      <c r="U87" s="10">
        <f t="shared" si="52"/>
        <v>4.7385246833173861E-6</v>
      </c>
      <c r="V87" s="12">
        <f t="shared" si="53"/>
        <v>16105.230694994185</v>
      </c>
      <c r="W87" s="12">
        <f t="shared" si="54"/>
        <v>4984.451168218623</v>
      </c>
      <c r="X87" s="12">
        <f t="shared" si="55"/>
        <v>273.69718570841223</v>
      </c>
      <c r="Y87" s="14">
        <f t="shared" si="56"/>
        <v>10.531347127309061</v>
      </c>
      <c r="Z87" s="14">
        <f t="shared" si="57"/>
        <v>50.757352506059718</v>
      </c>
      <c r="AA87" s="14">
        <f t="shared" si="58"/>
        <v>3.7828514478803417</v>
      </c>
      <c r="AB87" s="16">
        <f t="shared" si="59"/>
        <v>199.49099163828362</v>
      </c>
      <c r="AC87" s="16">
        <f t="shared" si="60"/>
        <v>684.54817808805683</v>
      </c>
      <c r="AD87" s="16">
        <f t="shared" si="61"/>
        <v>826.00383633028582</v>
      </c>
      <c r="AE87" s="18">
        <f t="shared" si="62"/>
        <v>15578.66333862873</v>
      </c>
      <c r="AF87" s="18">
        <f t="shared" si="63"/>
        <v>2446.5835429156373</v>
      </c>
      <c r="AG87" s="18">
        <f t="shared" si="64"/>
        <v>84.554613314395155</v>
      </c>
      <c r="AH87" s="18">
        <f t="shared" si="65"/>
        <v>-26079.780276908368</v>
      </c>
      <c r="AI87" s="18">
        <f t="shared" si="66"/>
        <v>-39211.860072621464</v>
      </c>
      <c r="AJ87" s="18">
        <f t="shared" si="47"/>
        <v>-41573.889002222706</v>
      </c>
    </row>
    <row r="88" spans="6:36" x14ac:dyDescent="0.4">
      <c r="F88">
        <v>42600</v>
      </c>
      <c r="G88" s="6">
        <f t="shared" si="26"/>
        <v>-0.34130819229488851</v>
      </c>
      <c r="H88" s="6">
        <f>(LN($D$13/$F88)+(sigma2^2/2))*(rate2+TimeofExpiration2)/(sigma2*SQRT(TimeofExpiration2))</f>
        <v>-1.5854573786154047</v>
      </c>
      <c r="I88" s="6">
        <f>(LN($E$13/$F88)+(sigma2^2/2))*(rate2+TimeofExpiration2)/(sigma2*SQRT(TimeofExpiration2))</f>
        <v>-2.8934363854979441</v>
      </c>
      <c r="J88">
        <f t="shared" si="48"/>
        <v>-0.38130819229488849</v>
      </c>
      <c r="K88">
        <f t="shared" si="49"/>
        <v>-1.6254573786154047</v>
      </c>
      <c r="L88">
        <f t="shared" si="29"/>
        <v>-2.9334363854979442</v>
      </c>
      <c r="M88" s="8">
        <f t="shared" si="67"/>
        <v>0.36643579062119569</v>
      </c>
      <c r="N88" s="8">
        <f t="shared" si="67"/>
        <v>5.6431226676988355E-2</v>
      </c>
      <c r="O88" s="8">
        <f t="shared" si="67"/>
        <v>1.9052573542900067E-3</v>
      </c>
      <c r="P88" s="8">
        <f t="shared" si="68"/>
        <v>-0.63356420937880431</v>
      </c>
      <c r="Q88" s="8">
        <f t="shared" si="68"/>
        <v>-0.94356877332301159</v>
      </c>
      <c r="R88" s="8">
        <f t="shared" si="68"/>
        <v>-0.99809474264570996</v>
      </c>
      <c r="S88" s="10">
        <f t="shared" si="50"/>
        <v>2.2402940404507094E-4</v>
      </c>
      <c r="T88" s="10">
        <f t="shared" si="51"/>
        <v>7.0950011580648797E-5</v>
      </c>
      <c r="U88" s="10">
        <f t="shared" si="52"/>
        <v>3.9913094198203419E-6</v>
      </c>
      <c r="V88" s="12">
        <f t="shared" si="53"/>
        <v>15807.514749420203</v>
      </c>
      <c r="W88" s="12">
        <f t="shared" si="54"/>
        <v>4540.8007411615235</v>
      </c>
      <c r="X88" s="12">
        <f t="shared" si="55"/>
        <v>230.53803208882294</v>
      </c>
      <c r="Y88" s="14">
        <f t="shared" si="56"/>
        <v>22.612973089777768</v>
      </c>
      <c r="Z88" s="14">
        <f t="shared" si="57"/>
        <v>47.362093312769339</v>
      </c>
      <c r="AA88" s="14">
        <f t="shared" si="58"/>
        <v>3.2109489278401115</v>
      </c>
      <c r="AB88" s="16">
        <f t="shared" si="59"/>
        <v>225.44165277032516</v>
      </c>
      <c r="AC88" s="16">
        <f t="shared" si="60"/>
        <v>700.85933332366392</v>
      </c>
      <c r="AD88" s="16">
        <f t="shared" si="61"/>
        <v>829.11869730164267</v>
      </c>
      <c r="AE88" s="18">
        <f t="shared" si="62"/>
        <v>14676.866094931314</v>
      </c>
      <c r="AF88" s="18">
        <f t="shared" si="63"/>
        <v>2172.6960755230562</v>
      </c>
      <c r="AG88" s="18">
        <f t="shared" si="64"/>
        <v>69.990585696817334</v>
      </c>
      <c r="AH88" s="18">
        <f t="shared" si="65"/>
        <v>-27079.597387936457</v>
      </c>
      <c r="AI88" s="18">
        <f t="shared" si="66"/>
        <v>-39583.76740734472</v>
      </c>
      <c r="AJ88" s="18">
        <f t="shared" si="47"/>
        <v>-41686.472897170956</v>
      </c>
    </row>
    <row r="89" spans="6:36" x14ac:dyDescent="0.4">
      <c r="F89">
        <v>42700</v>
      </c>
      <c r="G89" s="6">
        <f t="shared" si="26"/>
        <v>-0.40109719975586988</v>
      </c>
      <c r="H89" s="6">
        <f>(LN($D$13/$F89)+(sigma2^2/2))*(rate2+TimeofExpiration2)/(sigma2*SQRT(TimeofExpiration2))</f>
        <v>-1.6452463860763846</v>
      </c>
      <c r="I89" s="6">
        <f>(LN($E$13/$F89)+(sigma2^2/2))*(rate2+TimeofExpiration2)/(sigma2*SQRT(TimeofExpiration2))</f>
        <v>-2.9532253929589243</v>
      </c>
      <c r="J89">
        <f t="shared" si="48"/>
        <v>-0.44109719975586986</v>
      </c>
      <c r="K89">
        <f t="shared" si="49"/>
        <v>-1.6852463860763847</v>
      </c>
      <c r="L89">
        <f t="shared" si="29"/>
        <v>-2.9932253929589243</v>
      </c>
      <c r="M89" s="8">
        <f t="shared" si="67"/>
        <v>0.34417428121791943</v>
      </c>
      <c r="N89" s="8">
        <f t="shared" si="67"/>
        <v>4.9959505618906823E-2</v>
      </c>
      <c r="O89" s="8">
        <f t="shared" si="67"/>
        <v>1.5723613004899001E-3</v>
      </c>
      <c r="P89" s="8">
        <f t="shared" si="68"/>
        <v>-0.65582571878208062</v>
      </c>
      <c r="Q89" s="8">
        <f t="shared" si="68"/>
        <v>-0.95004049438109317</v>
      </c>
      <c r="R89" s="8">
        <f t="shared" si="68"/>
        <v>-0.99842763869951012</v>
      </c>
      <c r="S89" s="10">
        <f t="shared" si="50"/>
        <v>2.1911209989823027E-4</v>
      </c>
      <c r="T89" s="10">
        <f t="shared" si="51"/>
        <v>6.4418140683966611E-5</v>
      </c>
      <c r="U89" s="10">
        <f t="shared" si="52"/>
        <v>3.3512596835934651E-6</v>
      </c>
      <c r="V89" s="12">
        <f t="shared" si="53"/>
        <v>15460.549768819126</v>
      </c>
      <c r="W89" s="12">
        <f t="shared" si="54"/>
        <v>4122.7610037738623</v>
      </c>
      <c r="X89" s="12">
        <f t="shared" si="55"/>
        <v>193.56875932435855</v>
      </c>
      <c r="Y89" s="14">
        <f t="shared" si="56"/>
        <v>33.330252772397102</v>
      </c>
      <c r="Z89" s="14">
        <f t="shared" si="57"/>
        <v>43.973770720166101</v>
      </c>
      <c r="AA89" s="14">
        <f t="shared" si="58"/>
        <v>2.7159997450305449</v>
      </c>
      <c r="AB89" s="16">
        <f t="shared" si="59"/>
        <v>251.9979290236011</v>
      </c>
      <c r="AC89" s="16">
        <f t="shared" si="60"/>
        <v>716.15299757318053</v>
      </c>
      <c r="AD89" s="16">
        <f t="shared" si="61"/>
        <v>832.06291637602521</v>
      </c>
      <c r="AE89" s="18">
        <f t="shared" si="62"/>
        <v>13794.037130199269</v>
      </c>
      <c r="AF89" s="18">
        <f t="shared" si="63"/>
        <v>1924.0724677655578</v>
      </c>
      <c r="AG89" s="18">
        <f t="shared" si="64"/>
        <v>57.768772072831297</v>
      </c>
      <c r="AH89" s="18">
        <f t="shared" si="65"/>
        <v>-28060.446219999179</v>
      </c>
      <c r="AI89" s="18">
        <f t="shared" si="66"/>
        <v>-39930.410882432894</v>
      </c>
      <c r="AJ89" s="18">
        <f t="shared" si="47"/>
        <v>-41796.714578125611</v>
      </c>
    </row>
    <row r="90" spans="6:36" x14ac:dyDescent="0.4">
      <c r="F90">
        <v>42800</v>
      </c>
      <c r="G90" s="6">
        <f t="shared" si="26"/>
        <v>-0.46074634976176154</v>
      </c>
      <c r="H90" s="6">
        <f>(LN($D$13/$F90)+(sigma2^2/2))*(rate2+TimeofExpiration2)/(sigma2*SQRT(TimeofExpiration2))</f>
        <v>-1.704895536082278</v>
      </c>
      <c r="I90" s="6">
        <f>(LN($E$13/$F90)+(sigma2^2/2))*(rate2+TimeofExpiration2)/(sigma2*SQRT(TimeofExpiration2))</f>
        <v>-3.0128745429648167</v>
      </c>
      <c r="J90">
        <f t="shared" si="48"/>
        <v>-0.50074634976176158</v>
      </c>
      <c r="K90">
        <f t="shared" si="49"/>
        <v>-1.744895536082278</v>
      </c>
      <c r="L90">
        <f t="shared" si="29"/>
        <v>-3.0528745429648168</v>
      </c>
      <c r="M90" s="8">
        <f t="shared" si="67"/>
        <v>0.32249029856730527</v>
      </c>
      <c r="N90" s="8">
        <f t="shared" si="67"/>
        <v>4.4106954535469957E-2</v>
      </c>
      <c r="O90" s="8">
        <f t="shared" si="67"/>
        <v>1.2939293835997033E-3</v>
      </c>
      <c r="P90" s="8">
        <f t="shared" si="68"/>
        <v>-0.67750970143269473</v>
      </c>
      <c r="Q90" s="8">
        <f t="shared" si="68"/>
        <v>-0.95589304546453002</v>
      </c>
      <c r="R90" s="8">
        <f t="shared" si="68"/>
        <v>-0.99870607061640027</v>
      </c>
      <c r="S90" s="10">
        <f t="shared" si="50"/>
        <v>2.1355178435980684E-4</v>
      </c>
      <c r="T90" s="10">
        <f t="shared" si="51"/>
        <v>5.8292807896789585E-5</v>
      </c>
      <c r="U90" s="10">
        <f t="shared" si="52"/>
        <v>2.8049898069904313E-6</v>
      </c>
      <c r="V90" s="12">
        <f t="shared" si="53"/>
        <v>15068.213904427968</v>
      </c>
      <c r="W90" s="12">
        <f t="shared" si="54"/>
        <v>3730.7397053945333</v>
      </c>
      <c r="X90" s="12">
        <f t="shared" si="55"/>
        <v>162.01621125176732</v>
      </c>
      <c r="Y90" s="14">
        <f t="shared" si="56"/>
        <v>42.706267257633328</v>
      </c>
      <c r="Z90" s="14">
        <f t="shared" si="57"/>
        <v>40.631985043871573</v>
      </c>
      <c r="AA90" s="14">
        <f t="shared" si="58"/>
        <v>2.2894259441877702</v>
      </c>
      <c r="AB90" s="16">
        <f t="shared" si="59"/>
        <v>279.02777543109704</v>
      </c>
      <c r="AC90" s="16">
        <f t="shared" si="60"/>
        <v>730.45246117867271</v>
      </c>
      <c r="AD90" s="16">
        <f t="shared" si="61"/>
        <v>834.85884184469955</v>
      </c>
      <c r="AE90" s="18">
        <f t="shared" si="62"/>
        <v>12932.900541546305</v>
      </c>
      <c r="AF90" s="18">
        <f t="shared" si="63"/>
        <v>1699.1404532009551</v>
      </c>
      <c r="AG90" s="18">
        <f t="shared" si="64"/>
        <v>47.544914042378828</v>
      </c>
      <c r="AH90" s="18">
        <f t="shared" si="65"/>
        <v>-29019.602675982824</v>
      </c>
      <c r="AI90" s="18">
        <f t="shared" si="66"/>
        <v>-40253.362764328172</v>
      </c>
      <c r="AJ90" s="18">
        <f t="shared" si="47"/>
        <v>-41904.958303486746</v>
      </c>
    </row>
    <row r="91" spans="6:36" x14ac:dyDescent="0.4">
      <c r="F91">
        <v>42900</v>
      </c>
      <c r="G91" s="6">
        <f t="shared" si="26"/>
        <v>-0.52025629509037485</v>
      </c>
      <c r="H91" s="6">
        <f>(LN($D$13/$F91)+(sigma2^2/2))*(rate2+TimeofExpiration2)/(sigma2*SQRT(TimeofExpiration2))</f>
        <v>-1.7644054814108932</v>
      </c>
      <c r="I91" s="6">
        <f>(LN($E$13/$F91)+(sigma2^2/2))*(rate2+TimeofExpiration2)/(sigma2*SQRT(TimeofExpiration2))</f>
        <v>-3.072384488293431</v>
      </c>
      <c r="J91">
        <f t="shared" si="48"/>
        <v>-0.56025629509037489</v>
      </c>
      <c r="K91">
        <f t="shared" si="49"/>
        <v>-1.8044054814108932</v>
      </c>
      <c r="L91">
        <f t="shared" si="29"/>
        <v>-3.1123844882934311</v>
      </c>
      <c r="M91" s="8">
        <f t="shared" si="67"/>
        <v>0.30144247657941392</v>
      </c>
      <c r="N91" s="8">
        <f t="shared" si="67"/>
        <v>3.8831867988522333E-2</v>
      </c>
      <c r="O91" s="8">
        <f t="shared" si="67"/>
        <v>1.0617800204868195E-3</v>
      </c>
      <c r="P91" s="8">
        <f t="shared" si="68"/>
        <v>-0.69855752342058608</v>
      </c>
      <c r="Q91" s="8">
        <f t="shared" si="68"/>
        <v>-0.96116813201147766</v>
      </c>
      <c r="R91" s="8">
        <f t="shared" si="68"/>
        <v>-0.99893821997951315</v>
      </c>
      <c r="S91" s="10">
        <f t="shared" si="50"/>
        <v>2.0740836881614309E-4</v>
      </c>
      <c r="T91" s="10">
        <f t="shared" si="51"/>
        <v>5.2575475465558964E-5</v>
      </c>
      <c r="U91" s="10">
        <f t="shared" si="52"/>
        <v>2.3404265263241789E-6</v>
      </c>
      <c r="V91" s="12">
        <f t="shared" si="53"/>
        <v>14634.734503667054</v>
      </c>
      <c r="W91" s="12">
        <f t="shared" si="54"/>
        <v>3364.8304297957739</v>
      </c>
      <c r="X91" s="12">
        <f t="shared" si="55"/>
        <v>135.18303616048459</v>
      </c>
      <c r="Y91" s="14">
        <f t="shared" si="56"/>
        <v>50.776082345805008</v>
      </c>
      <c r="Z91" s="14">
        <f t="shared" si="57"/>
        <v>37.370191401569741</v>
      </c>
      <c r="AA91" s="14">
        <f t="shared" si="58"/>
        <v>1.9232760822439172</v>
      </c>
      <c r="AB91" s="16">
        <f t="shared" si="59"/>
        <v>306.39716389631872</v>
      </c>
      <c r="AC91" s="16">
        <f t="shared" si="60"/>
        <v>743.78743590693477</v>
      </c>
      <c r="AD91" s="16">
        <f t="shared" si="61"/>
        <v>837.52641633302051</v>
      </c>
      <c r="AE91" s="18">
        <f t="shared" si="62"/>
        <v>12095.930386376805</v>
      </c>
      <c r="AF91" s="18">
        <f t="shared" si="63"/>
        <v>1496.3208597172866</v>
      </c>
      <c r="AG91" s="18">
        <f t="shared" si="64"/>
        <v>39.019232048288735</v>
      </c>
      <c r="AH91" s="18">
        <f t="shared" si="65"/>
        <v>-29954.592698482993</v>
      </c>
      <c r="AI91" s="18">
        <f t="shared" si="66"/>
        <v>-40554.202225142515</v>
      </c>
      <c r="AJ91" s="18">
        <f t="shared" si="47"/>
        <v>-42011.503852811511</v>
      </c>
    </row>
    <row r="92" spans="6:36" x14ac:dyDescent="0.4">
      <c r="F92">
        <v>43000</v>
      </c>
      <c r="G92" s="6">
        <f t="shared" si="26"/>
        <v>-0.57962768395995112</v>
      </c>
      <c r="H92" s="6">
        <f>(LN($D$13/$F92)+(sigma2^2/2))*(rate2+TimeofExpiration2)/(sigma2*SQRT(TimeofExpiration2))</f>
        <v>-1.8237768702804666</v>
      </c>
      <c r="I92" s="6">
        <f>(LN($E$13/$F92)+(sigma2^2/2))*(rate2+TimeofExpiration2)/(sigma2*SQRT(TimeofExpiration2))</f>
        <v>-3.1317558771630045</v>
      </c>
      <c r="J92">
        <f t="shared" si="48"/>
        <v>-0.61962768395995116</v>
      </c>
      <c r="K92">
        <f t="shared" si="49"/>
        <v>-1.8637768702804667</v>
      </c>
      <c r="L92">
        <f t="shared" si="29"/>
        <v>-3.1717558771630046</v>
      </c>
      <c r="M92" s="8">
        <f t="shared" si="67"/>
        <v>0.28108285995259846</v>
      </c>
      <c r="N92" s="8">
        <f t="shared" si="67"/>
        <v>3.4092906007625094E-2</v>
      </c>
      <c r="O92" s="8">
        <f t="shared" si="67"/>
        <v>8.6882147276518636E-4</v>
      </c>
      <c r="P92" s="8">
        <f t="shared" si="68"/>
        <v>-0.71891714004740148</v>
      </c>
      <c r="Q92" s="8">
        <f t="shared" si="68"/>
        <v>-0.96590709399237495</v>
      </c>
      <c r="R92" s="8">
        <f t="shared" si="68"/>
        <v>-0.99913117852723476</v>
      </c>
      <c r="S92" s="10">
        <f t="shared" si="50"/>
        <v>2.0074567860746658E-4</v>
      </c>
      <c r="T92" s="10">
        <f t="shared" si="51"/>
        <v>4.7263204737793977E-5</v>
      </c>
      <c r="U92" s="10">
        <f t="shared" si="52"/>
        <v>1.9467454414406595E-6</v>
      </c>
      <c r="V92" s="12">
        <f t="shared" si="53"/>
        <v>14164.615082542841</v>
      </c>
      <c r="W92" s="12">
        <f t="shared" si="54"/>
        <v>3024.8451032188145</v>
      </c>
      <c r="X92" s="12">
        <f t="shared" si="55"/>
        <v>112.4440166976125</v>
      </c>
      <c r="Y92" s="14">
        <f t="shared" si="56"/>
        <v>57.585616591833855</v>
      </c>
      <c r="Z92" s="14">
        <f t="shared" si="57"/>
        <v>34.216002037522372</v>
      </c>
      <c r="AA92" s="14">
        <f t="shared" si="58"/>
        <v>1.6102442640091721</v>
      </c>
      <c r="AB92" s="16">
        <f t="shared" si="59"/>
        <v>333.97187233392975</v>
      </c>
      <c r="AC92" s="16">
        <f t="shared" si="60"/>
        <v>756.19305695257924</v>
      </c>
      <c r="AD92" s="16">
        <f t="shared" si="61"/>
        <v>840.08334263991412</v>
      </c>
      <c r="AE92" s="18">
        <f t="shared" si="62"/>
        <v>11285.334252951148</v>
      </c>
      <c r="AF92" s="18">
        <f t="shared" si="63"/>
        <v>1314.0450013426962</v>
      </c>
      <c r="AG92" s="18">
        <f t="shared" si="64"/>
        <v>31.931803497153894</v>
      </c>
      <c r="AH92" s="18">
        <f t="shared" si="65"/>
        <v>-30863.208699239327</v>
      </c>
      <c r="AI92" s="18">
        <f t="shared" si="66"/>
        <v>-40834.497950847777</v>
      </c>
      <c r="AJ92" s="18">
        <f t="shared" si="47"/>
        <v>-42116.611148693315</v>
      </c>
    </row>
    <row r="93" spans="6:36" x14ac:dyDescent="0.4">
      <c r="F93">
        <v>43100</v>
      </c>
      <c r="G93" s="6">
        <f t="shared" si="26"/>
        <v>-0.63886116007151139</v>
      </c>
      <c r="H93" s="6">
        <f>(LN($D$13/$F93)+(sigma2^2/2))*(rate2+TimeofExpiration2)/(sigma2*SQRT(TimeofExpiration2))</f>
        <v>-1.8830103463920291</v>
      </c>
      <c r="I93" s="6">
        <f>(LN($E$13/$F93)+(sigma2^2/2))*(rate2+TimeofExpiration2)/(sigma2*SQRT(TimeofExpiration2))</f>
        <v>-3.1909893532745661</v>
      </c>
      <c r="J93">
        <f t="shared" si="48"/>
        <v>-0.67886116007151143</v>
      </c>
      <c r="K93">
        <f t="shared" si="49"/>
        <v>-1.9230103463920292</v>
      </c>
      <c r="L93">
        <f t="shared" si="29"/>
        <v>-3.2309893532745662</v>
      </c>
      <c r="M93" s="8">
        <f t="shared" si="67"/>
        <v>0.26145662844046835</v>
      </c>
      <c r="N93" s="8">
        <f t="shared" si="67"/>
        <v>2.9849482915702247E-2</v>
      </c>
      <c r="O93" s="8">
        <f t="shared" si="67"/>
        <v>7.0893252500414433E-4</v>
      </c>
      <c r="P93" s="8">
        <f t="shared" si="68"/>
        <v>-0.73854337155953165</v>
      </c>
      <c r="Q93" s="8">
        <f t="shared" si="68"/>
        <v>-0.97015051708429778</v>
      </c>
      <c r="R93" s="8">
        <f t="shared" si="68"/>
        <v>-0.99929106747499585</v>
      </c>
      <c r="S93" s="10">
        <f t="shared" si="50"/>
        <v>1.9363039499069944E-4</v>
      </c>
      <c r="T93" s="10">
        <f t="shared" si="51"/>
        <v>4.2349183208676017E-5</v>
      </c>
      <c r="U93" s="10">
        <f t="shared" si="52"/>
        <v>1.6142975113681672E-6</v>
      </c>
      <c r="V93" s="12">
        <f t="shared" si="53"/>
        <v>13662.560670543751</v>
      </c>
      <c r="W93" s="12">
        <f t="shared" si="54"/>
        <v>2710.3477253552651</v>
      </c>
      <c r="X93" s="12">
        <f t="shared" si="55"/>
        <v>93.241824256625335</v>
      </c>
      <c r="Y93" s="14">
        <f t="shared" si="56"/>
        <v>63.190387690515479</v>
      </c>
      <c r="Z93" s="14">
        <f t="shared" si="57"/>
        <v>31.19155495478784</v>
      </c>
      <c r="AA93" s="14">
        <f t="shared" si="58"/>
        <v>1.3436721772547213</v>
      </c>
      <c r="AB93" s="16">
        <f t="shared" si="59"/>
        <v>361.61921725918853</v>
      </c>
      <c r="AC93" s="16">
        <f t="shared" si="60"/>
        <v>767.70890233100033</v>
      </c>
      <c r="AD93" s="16">
        <f t="shared" si="61"/>
        <v>842.54525559741273</v>
      </c>
      <c r="AE93" s="18">
        <f t="shared" si="62"/>
        <v>10503.041286017979</v>
      </c>
      <c r="AF93" s="18">
        <f t="shared" si="63"/>
        <v>1150.7699776158731</v>
      </c>
      <c r="AG93" s="18">
        <f t="shared" si="64"/>
        <v>26.058215393889281</v>
      </c>
      <c r="AH93" s="18">
        <f t="shared" si="65"/>
        <v>-31743.521533503179</v>
      </c>
      <c r="AI93" s="18">
        <f t="shared" si="66"/>
        <v>-41095.792841905284</v>
      </c>
      <c r="AJ93" s="18">
        <f t="shared" si="47"/>
        <v>-42220.504604127265</v>
      </c>
    </row>
    <row r="94" spans="6:36" x14ac:dyDescent="0.4">
      <c r="F94">
        <v>43200</v>
      </c>
      <c r="G94" s="6">
        <f t="shared" si="26"/>
        <v>-0.69795736265075659</v>
      </c>
      <c r="H94" s="6">
        <f>(LN($D$13/$F94)+(sigma2^2/2))*(rate2+TimeofExpiration2)/(sigma2*SQRT(TimeofExpiration2))</f>
        <v>-1.9421065489712723</v>
      </c>
      <c r="I94" s="6">
        <f>(LN($E$13/$F94)+(sigma2^2/2))*(rate2+TimeofExpiration2)/(sigma2*SQRT(TimeofExpiration2))</f>
        <v>-3.2500855558538104</v>
      </c>
      <c r="J94">
        <f t="shared" si="48"/>
        <v>-0.73795736265075662</v>
      </c>
      <c r="K94">
        <f t="shared" si="49"/>
        <v>-1.9821065489712724</v>
      </c>
      <c r="L94">
        <f t="shared" si="29"/>
        <v>-3.2900855558538105</v>
      </c>
      <c r="M94" s="8">
        <f t="shared" si="67"/>
        <v>0.24260192953655368</v>
      </c>
      <c r="N94" s="8">
        <f t="shared" si="67"/>
        <v>2.6062101433679586E-2</v>
      </c>
      <c r="O94" s="8">
        <f t="shared" si="67"/>
        <v>5.7685146958465759E-4</v>
      </c>
      <c r="P94" s="8">
        <f t="shared" si="68"/>
        <v>-0.75739807046344632</v>
      </c>
      <c r="Q94" s="8">
        <f t="shared" si="68"/>
        <v>-0.9739378985663204</v>
      </c>
      <c r="R94" s="8">
        <f t="shared" si="68"/>
        <v>-0.99942314853041536</v>
      </c>
      <c r="S94" s="10">
        <f t="shared" si="50"/>
        <v>1.8613099728960448E-4</v>
      </c>
      <c r="T94" s="10">
        <f t="shared" si="51"/>
        <v>3.7823257558838732E-5</v>
      </c>
      <c r="U94" s="10">
        <f t="shared" si="52"/>
        <v>1.3345289067468246E-6</v>
      </c>
      <c r="V94" s="12">
        <f t="shared" si="53"/>
        <v>13133.40316875449</v>
      </c>
      <c r="W94" s="12">
        <f t="shared" si="54"/>
        <v>2420.6884837656785</v>
      </c>
      <c r="X94" s="12">
        <f t="shared" si="55"/>
        <v>77.082389653696595</v>
      </c>
      <c r="Y94" s="14">
        <f t="shared" si="56"/>
        <v>67.654170153041548</v>
      </c>
      <c r="Z94" s="14">
        <f t="shared" si="57"/>
        <v>28.313932490428016</v>
      </c>
      <c r="AA94" s="14">
        <f t="shared" si="58"/>
        <v>1.1175374760093439</v>
      </c>
      <c r="AB94" s="16">
        <f t="shared" si="59"/>
        <v>389.20969713989842</v>
      </c>
      <c r="AC94" s="16">
        <f t="shared" si="60"/>
        <v>778.37804687683752</v>
      </c>
      <c r="AD94" s="16">
        <f t="shared" si="61"/>
        <v>844.92589562689807</v>
      </c>
      <c r="AE94" s="18">
        <f t="shared" si="62"/>
        <v>9750.6946611024141</v>
      </c>
      <c r="AF94" s="18">
        <f t="shared" si="63"/>
        <v>1004.9918592442779</v>
      </c>
      <c r="AG94" s="18">
        <f t="shared" si="64"/>
        <v>21.205515853229389</v>
      </c>
      <c r="AH94" s="18">
        <f t="shared" si="65"/>
        <v>-32593.888025749413</v>
      </c>
      <c r="AI94" s="18">
        <f t="shared" si="66"/>
        <v>-41339.59082760755</v>
      </c>
      <c r="AJ94" s="18">
        <f t="shared" si="47"/>
        <v>-42323.377170998603</v>
      </c>
    </row>
    <row r="95" spans="6:36" x14ac:dyDescent="0.4">
      <c r="F95">
        <v>43300</v>
      </c>
      <c r="G95" s="6">
        <f t="shared" si="26"/>
        <v>-0.75691692648943498</v>
      </c>
      <c r="H95" s="6">
        <f>(LN($D$13/$F95)+(sigma2^2/2))*(rate2+TimeofExpiration2)/(sigma2*SQRT(TimeofExpiration2))</f>
        <v>-2.0010661128099514</v>
      </c>
      <c r="I95" s="6">
        <f>(LN($E$13/$F95)+(sigma2^2/2))*(rate2+TimeofExpiration2)/(sigma2*SQRT(TimeofExpiration2))</f>
        <v>-3.3090451196924908</v>
      </c>
      <c r="J95">
        <f t="shared" si="48"/>
        <v>-0.79691692648943502</v>
      </c>
      <c r="K95">
        <f t="shared" si="49"/>
        <v>-2.0410661128099514</v>
      </c>
      <c r="L95">
        <f t="shared" si="29"/>
        <v>-3.3490451196924909</v>
      </c>
      <c r="M95" s="8">
        <f t="shared" si="67"/>
        <v>0.22454981695231999</v>
      </c>
      <c r="N95" s="8">
        <f t="shared" si="67"/>
        <v>2.2692632820396973E-2</v>
      </c>
      <c r="O95" s="8">
        <f t="shared" si="67"/>
        <v>4.6807374688668748E-4</v>
      </c>
      <c r="P95" s="8">
        <f t="shared" si="68"/>
        <v>-0.77545018304767999</v>
      </c>
      <c r="Q95" s="8">
        <f t="shared" si="68"/>
        <v>-0.97730736717960298</v>
      </c>
      <c r="R95" s="8">
        <f t="shared" si="68"/>
        <v>-0.99953192625311327</v>
      </c>
      <c r="S95" s="10">
        <f t="shared" si="50"/>
        <v>1.7831672723062837E-4</v>
      </c>
      <c r="T95" s="10">
        <f t="shared" si="51"/>
        <v>3.367246101140025E-5</v>
      </c>
      <c r="U95" s="10">
        <f t="shared" si="52"/>
        <v>1.0998970767534589E-6</v>
      </c>
      <c r="V95" s="12">
        <f t="shared" si="53"/>
        <v>12582.028273393136</v>
      </c>
      <c r="W95" s="12">
        <f t="shared" si="54"/>
        <v>2155.0375047296156</v>
      </c>
      <c r="X95" s="12">
        <f t="shared" si="55"/>
        <v>63.53005515327979</v>
      </c>
      <c r="Y95" s="14">
        <f t="shared" si="56"/>
        <v>71.047597295666634</v>
      </c>
      <c r="Z95" s="14">
        <f t="shared" si="57"/>
        <v>25.595614395302277</v>
      </c>
      <c r="AA95" s="14">
        <f t="shared" si="58"/>
        <v>0.92643153890761454</v>
      </c>
      <c r="AB95" s="16">
        <f t="shared" si="59"/>
        <v>416.61851744359126</v>
      </c>
      <c r="AC95" s="16">
        <f t="shared" si="60"/>
        <v>788.24616528976765</v>
      </c>
      <c r="AD95" s="16">
        <f t="shared" si="61"/>
        <v>847.23728041642642</v>
      </c>
      <c r="AE95" s="18">
        <f t="shared" si="62"/>
        <v>9029.6484086098044</v>
      </c>
      <c r="AF95" s="18">
        <f t="shared" si="63"/>
        <v>875.25678496450178</v>
      </c>
      <c r="AG95" s="18">
        <f t="shared" si="64"/>
        <v>17.208478207899059</v>
      </c>
      <c r="AH95" s="18">
        <f t="shared" si="65"/>
        <v>-33412.954145572701</v>
      </c>
      <c r="AI95" s="18">
        <f t="shared" si="66"/>
        <v>-41567.345769217995</v>
      </c>
      <c r="AJ95" s="18">
        <f t="shared" si="47"/>
        <v>-42425.394075974604</v>
      </c>
    </row>
    <row r="96" spans="6:36" x14ac:dyDescent="0.4">
      <c r="F96">
        <v>43400</v>
      </c>
      <c r="G96" s="6">
        <f t="shared" ref="G96:G112" si="69">(LN($C$13/$F96)+(sigma2^2/2))*(rate2+TimeofExpiration2)/(sigma2*SQRT(TimeofExpiration2))</f>
        <v>-0.81574048198626636</v>
      </c>
      <c r="H96" s="6">
        <f>(LN($D$13/$F96)+(sigma2^2/2))*(rate2+TimeofExpiration2)/(sigma2*SQRT(TimeofExpiration2))</f>
        <v>-2.0598896683067833</v>
      </c>
      <c r="I96" s="6">
        <f>(LN($E$13/$F96)+(sigma2^2/2))*(rate2+TimeofExpiration2)/(sigma2*SQRT(TimeofExpiration2))</f>
        <v>-3.3678686751893228</v>
      </c>
      <c r="J96">
        <f t="shared" si="48"/>
        <v>-0.8557404819862664</v>
      </c>
      <c r="K96">
        <f t="shared" si="49"/>
        <v>-2.0998896683067834</v>
      </c>
      <c r="L96">
        <f t="shared" si="29"/>
        <v>-3.4078686751893228</v>
      </c>
      <c r="M96" s="8">
        <f t="shared" si="67"/>
        <v>0.20732429021685977</v>
      </c>
      <c r="N96" s="8">
        <f t="shared" si="67"/>
        <v>1.9704544816767589E-2</v>
      </c>
      <c r="O96" s="8">
        <f t="shared" si="67"/>
        <v>3.7875834866456335E-4</v>
      </c>
      <c r="P96" s="8">
        <f t="shared" si="68"/>
        <v>-0.79267570978314028</v>
      </c>
      <c r="Q96" s="8">
        <f t="shared" si="68"/>
        <v>-0.98029545518323236</v>
      </c>
      <c r="R96" s="8">
        <f t="shared" si="68"/>
        <v>-0.99962124165133548</v>
      </c>
      <c r="S96" s="10">
        <f t="shared" si="50"/>
        <v>1.7025659567355178E-4</v>
      </c>
      <c r="T96" s="10">
        <f t="shared" si="51"/>
        <v>2.9881524918952313E-5</v>
      </c>
      <c r="U96" s="10">
        <f t="shared" si="52"/>
        <v>9.0378543652228309E-7</v>
      </c>
      <c r="V96" s="12">
        <f t="shared" si="53"/>
        <v>12013.305390725813</v>
      </c>
      <c r="W96" s="12">
        <f t="shared" si="54"/>
        <v>1912.417594812948</v>
      </c>
      <c r="X96" s="12">
        <f t="shared" si="55"/>
        <v>52.202646813527075</v>
      </c>
      <c r="Y96" s="14">
        <f t="shared" si="56"/>
        <v>73.446739730072807</v>
      </c>
      <c r="Z96" s="14">
        <f t="shared" si="57"/>
        <v>23.044951209514245</v>
      </c>
      <c r="AA96" s="14">
        <f t="shared" si="58"/>
        <v>0.76552928646709195</v>
      </c>
      <c r="AB96" s="16">
        <f t="shared" si="59"/>
        <v>443.72697253130383</v>
      </c>
      <c r="AC96" s="16">
        <f t="shared" si="60"/>
        <v>797.36069584725988</v>
      </c>
      <c r="AD96" s="16">
        <f t="shared" si="61"/>
        <v>849.48987184418957</v>
      </c>
      <c r="AE96" s="18">
        <f t="shared" si="62"/>
        <v>8340.9684042221725</v>
      </c>
      <c r="AF96" s="18">
        <f t="shared" si="63"/>
        <v>760.17003433723585</v>
      </c>
      <c r="AG96" s="18">
        <f t="shared" si="64"/>
        <v>13.926182490172479</v>
      </c>
      <c r="AH96" s="18">
        <f t="shared" si="65"/>
        <v>-34199.65401729101</v>
      </c>
      <c r="AI96" s="18">
        <f t="shared" si="66"/>
        <v>-41780.452387175945</v>
      </c>
      <c r="AJ96" s="18">
        <f t="shared" si="47"/>
        <v>-42526.696239023011</v>
      </c>
    </row>
    <row r="97" spans="6:36" x14ac:dyDescent="0.4">
      <c r="F97">
        <v>43500</v>
      </c>
      <c r="G97" s="6">
        <f t="shared" si="69"/>
        <v>-0.87442865518738644</v>
      </c>
      <c r="H97" s="6">
        <f>(LN($D$13/$F97)+(sigma2^2/2))*(rate2+TimeofExpiration2)/(sigma2*SQRT(TimeofExpiration2))</f>
        <v>-2.1185778415079044</v>
      </c>
      <c r="I97" s="6">
        <f>(LN($E$13/$F97)+(sigma2^2/2))*(rate2+TimeofExpiration2)/(sigma2*SQRT(TimeofExpiration2))</f>
        <v>-3.4265568483904412</v>
      </c>
      <c r="J97">
        <f t="shared" si="48"/>
        <v>-0.91442865518738647</v>
      </c>
      <c r="K97">
        <f t="shared" si="49"/>
        <v>-2.1585778415079044</v>
      </c>
      <c r="L97">
        <f t="shared" si="29"/>
        <v>-3.4665568483904412</v>
      </c>
      <c r="M97" s="8">
        <f t="shared" si="67"/>
        <v>0.1909424289162025</v>
      </c>
      <c r="N97" s="8">
        <f t="shared" si="67"/>
        <v>1.7063080004749095E-2</v>
      </c>
      <c r="O97" s="8">
        <f t="shared" si="67"/>
        <v>3.0564289542983457E-4</v>
      </c>
      <c r="P97" s="8">
        <f t="shared" si="68"/>
        <v>-0.8090575710837975</v>
      </c>
      <c r="Q97" s="8">
        <f t="shared" si="68"/>
        <v>-0.9829369199952509</v>
      </c>
      <c r="R97" s="8">
        <f t="shared" si="68"/>
        <v>-0.99969435710457022</v>
      </c>
      <c r="S97" s="10">
        <f t="shared" si="50"/>
        <v>1.6201844971151975E-4</v>
      </c>
      <c r="T97" s="10">
        <f t="shared" si="51"/>
        <v>2.6433366144915303E-5</v>
      </c>
      <c r="U97" s="10">
        <f t="shared" si="52"/>
        <v>7.404186520780717E-7</v>
      </c>
      <c r="V97" s="12">
        <f t="shared" si="53"/>
        <v>11432.021811644832</v>
      </c>
      <c r="W97" s="12">
        <f t="shared" si="54"/>
        <v>1691.7354332745792</v>
      </c>
      <c r="X97" s="12">
        <f t="shared" si="55"/>
        <v>42.766581344029426</v>
      </c>
      <c r="Y97" s="14">
        <f t="shared" si="56"/>
        <v>74.931690893203438</v>
      </c>
      <c r="Z97" s="14">
        <f t="shared" si="57"/>
        <v>20.66664517757274</v>
      </c>
      <c r="AA97" s="14">
        <f t="shared" si="58"/>
        <v>0.6305533922459422</v>
      </c>
      <c r="AB97" s="16">
        <f t="shared" si="59"/>
        <v>470.42366420428721</v>
      </c>
      <c r="AC97" s="16">
        <f t="shared" si="60"/>
        <v>805.7700736234666</v>
      </c>
      <c r="AD97" s="16">
        <f t="shared" si="61"/>
        <v>851.69273591536182</v>
      </c>
      <c r="AE97" s="18">
        <f t="shared" si="62"/>
        <v>7685.4372669846607</v>
      </c>
      <c r="AF97" s="18">
        <f t="shared" si="63"/>
        <v>658.40317439594264</v>
      </c>
      <c r="AG97" s="18">
        <f t="shared" si="64"/>
        <v>11.238911731732316</v>
      </c>
      <c r="AH97" s="18">
        <f t="shared" si="65"/>
        <v>-34953.20502185919</v>
      </c>
      <c r="AI97" s="18">
        <f t="shared" si="66"/>
        <v>-41980.239114447912</v>
      </c>
      <c r="AJ97" s="18">
        <f t="shared" si="47"/>
        <v>-42627.403377112118</v>
      </c>
    </row>
    <row r="98" spans="6:36" x14ac:dyDescent="0.4">
      <c r="F98">
        <v>43600</v>
      </c>
      <c r="G98" s="6">
        <f t="shared" si="69"/>
        <v>-0.93298206782631843</v>
      </c>
      <c r="H98" s="6">
        <f>(LN($D$13/$F98)+(sigma2^2/2))*(rate2+TimeofExpiration2)/(sigma2*SQRT(TimeofExpiration2))</f>
        <v>-2.1771312541468331</v>
      </c>
      <c r="I98" s="6">
        <f>(LN($E$13/$F98)+(sigma2^2/2))*(rate2+TimeofExpiration2)/(sigma2*SQRT(TimeofExpiration2))</f>
        <v>-3.4851102610293734</v>
      </c>
      <c r="J98">
        <f t="shared" si="48"/>
        <v>-0.97298206782631846</v>
      </c>
      <c r="K98">
        <f t="shared" si="49"/>
        <v>-2.2171312541468331</v>
      </c>
      <c r="L98">
        <f t="shared" si="29"/>
        <v>-3.5251102610293734</v>
      </c>
      <c r="M98" s="8">
        <f t="shared" si="67"/>
        <v>0.17541461355068502</v>
      </c>
      <c r="N98" s="8">
        <f t="shared" si="67"/>
        <v>1.4735387861944328E-2</v>
      </c>
      <c r="O98" s="8">
        <f t="shared" si="67"/>
        <v>2.4596714208994933E-4</v>
      </c>
      <c r="P98" s="8">
        <f t="shared" si="68"/>
        <v>-0.82458538644931501</v>
      </c>
      <c r="Q98" s="8">
        <f t="shared" si="68"/>
        <v>-0.98526461213805572</v>
      </c>
      <c r="R98" s="8">
        <f t="shared" si="68"/>
        <v>-0.99975403285791009</v>
      </c>
      <c r="S98" s="10">
        <f t="shared" si="50"/>
        <v>1.5366811553365069E-4</v>
      </c>
      <c r="T98" s="10">
        <f t="shared" si="51"/>
        <v>2.3309543468623779E-5</v>
      </c>
      <c r="U98" s="10">
        <f t="shared" si="52"/>
        <v>6.0478010196581538E-7</v>
      </c>
      <c r="V98" s="12">
        <f t="shared" si="53"/>
        <v>10842.82223205439</v>
      </c>
      <c r="W98" s="12">
        <f t="shared" si="54"/>
        <v>1491.8107819919219</v>
      </c>
      <c r="X98" s="12">
        <f t="shared" si="55"/>
        <v>34.932098689545498</v>
      </c>
      <c r="Y98" s="14">
        <f t="shared" si="56"/>
        <v>75.585187792619593</v>
      </c>
      <c r="Z98" s="14">
        <f t="shared" si="57"/>
        <v>18.462227547834971</v>
      </c>
      <c r="AA98" s="14">
        <f t="shared" si="58"/>
        <v>0.51773488007237012</v>
      </c>
      <c r="AB98" s="16">
        <f t="shared" si="59"/>
        <v>496.60554163393454</v>
      </c>
      <c r="AC98" s="16">
        <f t="shared" si="60"/>
        <v>813.52303939164858</v>
      </c>
      <c r="AD98" s="16">
        <f t="shared" si="61"/>
        <v>853.85369405598101</v>
      </c>
      <c r="AE98" s="18">
        <f t="shared" si="62"/>
        <v>7063.562842423411</v>
      </c>
      <c r="AF98" s="18">
        <f t="shared" si="63"/>
        <v>568.69940460017324</v>
      </c>
      <c r="AG98" s="18">
        <f t="shared" si="64"/>
        <v>9.0453546859269913</v>
      </c>
      <c r="AH98" s="18">
        <f t="shared" si="65"/>
        <v>-35673.099313751118</v>
      </c>
      <c r="AI98" s="18">
        <f t="shared" si="66"/>
        <v>-42167.962751574349</v>
      </c>
      <c r="AJ98" s="18">
        <f t="shared" si="47"/>
        <v>-42727.616801488599</v>
      </c>
    </row>
    <row r="99" spans="6:36" x14ac:dyDescent="0.4">
      <c r="F99">
        <v>43700</v>
      </c>
      <c r="G99" s="6">
        <f t="shared" si="69"/>
        <v>-0.99140133736349167</v>
      </c>
      <c r="H99" s="6">
        <f>(LN($D$13/$F99)+(sigma2^2/2))*(rate2+TimeofExpiration2)/(sigma2*SQRT(TimeofExpiration2))</f>
        <v>-2.2355505236840068</v>
      </c>
      <c r="I99" s="6">
        <f>(LN($E$13/$F99)+(sigma2^2/2))*(rate2+TimeofExpiration2)/(sigma2*SQRT(TimeofExpiration2))</f>
        <v>-3.5435295305665475</v>
      </c>
      <c r="J99">
        <f t="shared" si="48"/>
        <v>-1.0314013373634916</v>
      </c>
      <c r="K99">
        <f t="shared" si="49"/>
        <v>-2.2755505236840068</v>
      </c>
      <c r="L99">
        <f t="shared" si="29"/>
        <v>-3.5835295305665475</v>
      </c>
      <c r="M99" s="8">
        <f t="shared" si="67"/>
        <v>0.16074482374371346</v>
      </c>
      <c r="N99" s="8">
        <f t="shared" si="67"/>
        <v>1.2690614296509589E-2</v>
      </c>
      <c r="O99" s="8">
        <f t="shared" si="67"/>
        <v>1.9740454611374308E-4</v>
      </c>
      <c r="P99" s="8">
        <f t="shared" si="68"/>
        <v>-0.83925517625628654</v>
      </c>
      <c r="Q99" s="8">
        <f t="shared" si="68"/>
        <v>-0.98730938570349036</v>
      </c>
      <c r="R99" s="8">
        <f t="shared" si="68"/>
        <v>-0.99980259545388628</v>
      </c>
      <c r="S99" s="10">
        <f t="shared" si="50"/>
        <v>1.4526862961854409E-4</v>
      </c>
      <c r="T99" s="10">
        <f t="shared" si="51"/>
        <v>2.0490677867724103E-5</v>
      </c>
      <c r="U99" s="10">
        <f t="shared" si="52"/>
        <v>4.925327337659307E-7</v>
      </c>
      <c r="V99" s="12">
        <f t="shared" si="53"/>
        <v>10250.154505884469</v>
      </c>
      <c r="W99" s="12">
        <f t="shared" si="54"/>
        <v>1311.4033835343425</v>
      </c>
      <c r="X99" s="12">
        <f t="shared" si="55"/>
        <v>28.44869070232016</v>
      </c>
      <c r="Y99" s="14">
        <f t="shared" si="56"/>
        <v>75.491292197811191</v>
      </c>
      <c r="Z99" s="14">
        <f t="shared" si="57"/>
        <v>16.430522778654762</v>
      </c>
      <c r="AA99" s="14">
        <f t="shared" si="58"/>
        <v>0.42377177233065999</v>
      </c>
      <c r="AB99" s="16">
        <f t="shared" si="59"/>
        <v>522.17875243253661</v>
      </c>
      <c r="AC99" s="16">
        <f t="shared" si="60"/>
        <v>820.66802790738518</v>
      </c>
      <c r="AD99" s="16">
        <f t="shared" si="61"/>
        <v>855.97946461434196</v>
      </c>
      <c r="AE99" s="18">
        <f t="shared" si="62"/>
        <v>6475.5898959939113</v>
      </c>
      <c r="AF99" s="18">
        <f t="shared" si="63"/>
        <v>489.87724460160439</v>
      </c>
      <c r="AG99" s="18">
        <f t="shared" si="64"/>
        <v>7.2601020857871612</v>
      </c>
      <c r="AH99" s="18">
        <f t="shared" si="65"/>
        <v>-36359.0921275113</v>
      </c>
      <c r="AI99" s="18">
        <f t="shared" si="66"/>
        <v>-42344.804778903599</v>
      </c>
      <c r="AJ99" s="18">
        <f t="shared" si="47"/>
        <v>-42827.421921419424</v>
      </c>
    </row>
    <row r="100" spans="6:36" x14ac:dyDescent="0.4">
      <c r="F100">
        <v>43800</v>
      </c>
      <c r="G100" s="6">
        <f t="shared" si="69"/>
        <v>-1.0496870770253208</v>
      </c>
      <c r="H100" s="6">
        <f>(LN($D$13/$F100)+(sigma2^2/2))*(rate2+TimeofExpiration2)/(sigma2*SQRT(TimeofExpiration2))</f>
        <v>-2.2938362633458373</v>
      </c>
      <c r="I100" s="6">
        <f>(LN($E$13/$F100)+(sigma2^2/2))*(rate2+TimeofExpiration2)/(sigma2*SQRT(TimeofExpiration2))</f>
        <v>-3.6018152702283754</v>
      </c>
      <c r="J100">
        <f t="shared" si="48"/>
        <v>-1.0896870770253209</v>
      </c>
      <c r="K100">
        <f t="shared" si="49"/>
        <v>-2.3338362633458374</v>
      </c>
      <c r="L100">
        <f t="shared" si="29"/>
        <v>-3.6418152702283755</v>
      </c>
      <c r="M100" s="8">
        <f t="shared" si="67"/>
        <v>0.14693100359718078</v>
      </c>
      <c r="N100" s="8">
        <f t="shared" si="67"/>
        <v>1.0899952793853184E-2</v>
      </c>
      <c r="O100" s="8">
        <f t="shared" si="67"/>
        <v>1.5800144493225969E-4</v>
      </c>
      <c r="P100" s="8">
        <f t="shared" si="68"/>
        <v>-0.85306899640281919</v>
      </c>
      <c r="Q100" s="8">
        <f t="shared" si="68"/>
        <v>-0.98910004720614686</v>
      </c>
      <c r="R100" s="8">
        <f t="shared" si="68"/>
        <v>-0.99984199855506772</v>
      </c>
      <c r="S100" s="10">
        <f t="shared" si="50"/>
        <v>1.3687956786249795E-4</v>
      </c>
      <c r="T100" s="10">
        <f t="shared" si="51"/>
        <v>1.7956833071637839E-5</v>
      </c>
      <c r="U100" s="10">
        <f t="shared" si="52"/>
        <v>3.9994421283793391E-7</v>
      </c>
      <c r="V100" s="12">
        <f t="shared" si="53"/>
        <v>9658.2223083778554</v>
      </c>
      <c r="W100" s="12">
        <f t="shared" si="54"/>
        <v>1149.2373165848217</v>
      </c>
      <c r="X100" s="12">
        <f t="shared" si="55"/>
        <v>23.100777733519063</v>
      </c>
      <c r="Y100" s="14">
        <f t="shared" si="56"/>
        <v>74.734154113997079</v>
      </c>
      <c r="Z100" s="14">
        <f t="shared" si="57"/>
        <v>14.568091866374061</v>
      </c>
      <c r="AA100" s="14">
        <f t="shared" si="58"/>
        <v>0.34578714951354622</v>
      </c>
      <c r="AB100" s="16">
        <f t="shared" si="59"/>
        <v>547.05929959560046</v>
      </c>
      <c r="AC100" s="16">
        <f t="shared" si="60"/>
        <v>827.2526370196988</v>
      </c>
      <c r="AD100" s="16">
        <f t="shared" si="61"/>
        <v>858.0757938568903</v>
      </c>
      <c r="AE100" s="18">
        <f t="shared" si="62"/>
        <v>5921.5146026780021</v>
      </c>
      <c r="AF100" s="18">
        <f t="shared" si="63"/>
        <v>420.83272326611865</v>
      </c>
      <c r="AG100" s="18">
        <f t="shared" si="64"/>
        <v>5.8114202578417551</v>
      </c>
      <c r="AH100" s="18">
        <f t="shared" si="65"/>
        <v>-37011.187288157882</v>
      </c>
      <c r="AI100" s="18">
        <f t="shared" si="66"/>
        <v>-42511.869167569763</v>
      </c>
      <c r="AJ100" s="18">
        <f t="shared" si="47"/>
        <v>-42926.890470578037</v>
      </c>
    </row>
    <row r="101" spans="6:36" x14ac:dyDescent="0.4">
      <c r="F101">
        <v>43900</v>
      </c>
      <c r="G101" s="6">
        <f t="shared" si="69"/>
        <v>-1.1078398958428115</v>
      </c>
      <c r="H101" s="6">
        <f>(LN($D$13/$F101)+(sigma2^2/2))*(rate2+TimeofExpiration2)/(sigma2*SQRT(TimeofExpiration2))</f>
        <v>-2.3519890821633296</v>
      </c>
      <c r="I101" s="6">
        <f>(LN($E$13/$F101)+(sigma2^2/2))*(rate2+TimeofExpiration2)/(sigma2*SQRT(TimeofExpiration2))</f>
        <v>-3.6599680890458668</v>
      </c>
      <c r="J101">
        <f t="shared" si="48"/>
        <v>-1.1478398958428115</v>
      </c>
      <c r="K101">
        <f t="shared" si="49"/>
        <v>-2.3919890821633296</v>
      </c>
      <c r="L101">
        <f t="shared" si="29"/>
        <v>-3.6999680890458668</v>
      </c>
      <c r="M101" s="8">
        <f t="shared" si="67"/>
        <v>0.13396548336020436</v>
      </c>
      <c r="N101" s="8">
        <f t="shared" si="67"/>
        <v>9.3366615090448822E-3</v>
      </c>
      <c r="O101" s="8">
        <f t="shared" si="67"/>
        <v>1.2612332985073756E-4</v>
      </c>
      <c r="P101" s="8">
        <f t="shared" si="68"/>
        <v>-0.86603451663979558</v>
      </c>
      <c r="Q101" s="8">
        <f t="shared" si="68"/>
        <v>-0.99066333849095511</v>
      </c>
      <c r="R101" s="8">
        <f t="shared" si="68"/>
        <v>-0.99987387667014926</v>
      </c>
      <c r="S101" s="10">
        <f t="shared" si="50"/>
        <v>1.2855647924266779E-4</v>
      </c>
      <c r="T101" s="10">
        <f t="shared" si="51"/>
        <v>1.5687854201581488E-5</v>
      </c>
      <c r="U101" s="10">
        <f t="shared" si="52"/>
        <v>3.2381698124285203E-7</v>
      </c>
      <c r="V101" s="12">
        <f t="shared" si="53"/>
        <v>9070.9451753626381</v>
      </c>
      <c r="W101" s="12">
        <f t="shared" si="54"/>
        <v>1004.0226689012152</v>
      </c>
      <c r="X101" s="12">
        <f t="shared" si="55"/>
        <v>18.703668836587131</v>
      </c>
      <c r="Y101" s="14">
        <f t="shared" si="56"/>
        <v>73.396875672226102</v>
      </c>
      <c r="Z101" s="14">
        <f t="shared" si="57"/>
        <v>12.869648664150105</v>
      </c>
      <c r="AA101" s="14">
        <f t="shared" si="58"/>
        <v>0.28128770355326177</v>
      </c>
      <c r="AB101" s="16">
        <f t="shared" si="59"/>
        <v>571.17350382105178</v>
      </c>
      <c r="AC101" s="16">
        <f t="shared" si="60"/>
        <v>833.32317707143261</v>
      </c>
      <c r="AD101" s="16">
        <f t="shared" si="61"/>
        <v>860.14757611342088</v>
      </c>
      <c r="AE101" s="18">
        <f t="shared" si="62"/>
        <v>5401.1013917513319</v>
      </c>
      <c r="AF101" s="18">
        <f t="shared" si="63"/>
        <v>360.54023569370992</v>
      </c>
      <c r="AG101" s="18">
        <f t="shared" si="64"/>
        <v>4.6392836589240432</v>
      </c>
      <c r="AH101" s="18">
        <f t="shared" si="65"/>
        <v>-37629.62036641522</v>
      </c>
      <c r="AI101" s="18">
        <f t="shared" si="66"/>
        <v>-42670.181522472842</v>
      </c>
      <c r="AJ101" s="18">
        <f t="shared" si="47"/>
        <v>-43026.082474507632</v>
      </c>
    </row>
    <row r="102" spans="6:36" x14ac:dyDescent="0.4">
      <c r="F102">
        <v>44000</v>
      </c>
      <c r="G102" s="6">
        <f t="shared" si="69"/>
        <v>-1.1658603986897667</v>
      </c>
      <c r="H102" s="6">
        <f>(LN($D$13/$F102)+(sigma2^2/2))*(rate2+TimeofExpiration2)/(sigma2*SQRT(TimeofExpiration2))</f>
        <v>-2.4100095850102852</v>
      </c>
      <c r="I102" s="6">
        <f>(LN($E$13/$F102)+(sigma2^2/2))*(rate2+TimeofExpiration2)/(sigma2*SQRT(TimeofExpiration2))</f>
        <v>-3.7179885918928228</v>
      </c>
      <c r="J102">
        <f t="shared" si="48"/>
        <v>-1.2058603986897667</v>
      </c>
      <c r="K102">
        <f t="shared" si="49"/>
        <v>-2.4500095850102852</v>
      </c>
      <c r="L102">
        <f t="shared" si="29"/>
        <v>-3.7579885918928229</v>
      </c>
      <c r="M102" s="8">
        <f t="shared" si="67"/>
        <v>0.12183544625147141</v>
      </c>
      <c r="N102" s="8">
        <f t="shared" si="67"/>
        <v>7.9760507121437816E-3</v>
      </c>
      <c r="O102" s="8">
        <f t="shared" si="67"/>
        <v>1.0040766821620024E-4</v>
      </c>
      <c r="P102" s="8">
        <f t="shared" si="68"/>
        <v>-0.87816455374852853</v>
      </c>
      <c r="Q102" s="8">
        <f t="shared" si="68"/>
        <v>-0.9920239492878562</v>
      </c>
      <c r="R102" s="8">
        <f t="shared" si="68"/>
        <v>-0.99989959233178383</v>
      </c>
      <c r="S102" s="10">
        <f t="shared" si="50"/>
        <v>1.203504276664929E-4</v>
      </c>
      <c r="T102" s="10">
        <f t="shared" si="51"/>
        <v>1.3663663590514597E-5</v>
      </c>
      <c r="U102" s="10">
        <f t="shared" si="52"/>
        <v>2.6142360652851391E-7</v>
      </c>
      <c r="V102" s="12">
        <f t="shared" si="53"/>
        <v>8491.9261761477392</v>
      </c>
      <c r="W102" s="12">
        <f t="shared" si="54"/>
        <v>874.4744697929342</v>
      </c>
      <c r="X102" s="12">
        <f t="shared" si="55"/>
        <v>15.099827513086963</v>
      </c>
      <c r="Y102" s="14">
        <f t="shared" si="56"/>
        <v>71.560489695766222</v>
      </c>
      <c r="Z102" s="14">
        <f t="shared" si="57"/>
        <v>11.328444631359277</v>
      </c>
      <c r="AA102" s="14">
        <f t="shared" si="58"/>
        <v>0.22812361954985522</v>
      </c>
      <c r="AB102" s="16">
        <f t="shared" si="59"/>
        <v>594.45827515980125</v>
      </c>
      <c r="AC102" s="16">
        <f t="shared" si="60"/>
        <v>838.92429834958648</v>
      </c>
      <c r="AD102" s="16">
        <f t="shared" si="61"/>
        <v>862.19896302897098</v>
      </c>
      <c r="AE102" s="18">
        <f t="shared" si="62"/>
        <v>4913.9016913594278</v>
      </c>
      <c r="AF102" s="18">
        <f t="shared" si="63"/>
        <v>308.05223822497038</v>
      </c>
      <c r="AG102" s="18">
        <f t="shared" si="64"/>
        <v>3.6936465355942034</v>
      </c>
      <c r="AH102" s="18">
        <f t="shared" si="65"/>
        <v>-38214.83993413781</v>
      </c>
      <c r="AI102" s="18">
        <f t="shared" si="66"/>
        <v>-42820.689387272265</v>
      </c>
      <c r="AJ102" s="18">
        <f t="shared" si="47"/>
        <v>-43125.047978961637</v>
      </c>
    </row>
    <row r="103" spans="6:36" x14ac:dyDescent="0.4">
      <c r="F103">
        <v>44100</v>
      </c>
      <c r="G103" s="6">
        <f t="shared" si="69"/>
        <v>-1.2237491863205174</v>
      </c>
      <c r="H103" s="6">
        <f>(LN($D$13/$F103)+(sigma2^2/2))*(rate2+TimeofExpiration2)/(sigma2*SQRT(TimeofExpiration2))</f>
        <v>-2.4678983726410313</v>
      </c>
      <c r="I103" s="6">
        <f>(LN($E$13/$F103)+(sigma2^2/2))*(rate2+TimeofExpiration2)/(sigma2*SQRT(TimeofExpiration2))</f>
        <v>-3.7758773795235698</v>
      </c>
      <c r="J103">
        <f t="shared" si="48"/>
        <v>-1.2637491863205175</v>
      </c>
      <c r="K103">
        <f t="shared" si="49"/>
        <v>-2.5078983726410313</v>
      </c>
      <c r="L103">
        <f t="shared" si="29"/>
        <v>-3.8158773795235699</v>
      </c>
      <c r="M103" s="8">
        <f t="shared" si="67"/>
        <v>0.11052342923578644</v>
      </c>
      <c r="N103" s="8">
        <f t="shared" si="67"/>
        <v>6.7954449545921522E-3</v>
      </c>
      <c r="O103" s="8">
        <f t="shared" si="67"/>
        <v>7.9722709910561034E-5</v>
      </c>
      <c r="P103" s="8">
        <f t="shared" si="68"/>
        <v>-0.8894765707642136</v>
      </c>
      <c r="Q103" s="8">
        <f t="shared" si="68"/>
        <v>-0.99320455504540783</v>
      </c>
      <c r="R103" s="8">
        <f t="shared" si="68"/>
        <v>-0.99992027729008948</v>
      </c>
      <c r="S103" s="10">
        <f t="shared" si="50"/>
        <v>1.1230764284867438E-4</v>
      </c>
      <c r="T103" s="10">
        <f t="shared" si="51"/>
        <v>1.186451399347328E-5</v>
      </c>
      <c r="U103" s="10">
        <f t="shared" si="52"/>
        <v>2.1044760132265736E-7</v>
      </c>
      <c r="V103" s="12">
        <f t="shared" si="53"/>
        <v>7924.4272794024637</v>
      </c>
      <c r="W103" s="12">
        <f t="shared" si="54"/>
        <v>759.32889558228999</v>
      </c>
      <c r="X103" s="12">
        <f t="shared" si="55"/>
        <v>12.15545345239669</v>
      </c>
      <c r="Y103" s="14">
        <f t="shared" si="56"/>
        <v>69.303063289008563</v>
      </c>
      <c r="Z103" s="14">
        <f t="shared" si="57"/>
        <v>9.9366189063010779</v>
      </c>
      <c r="AA103" s="14">
        <f t="shared" si="58"/>
        <v>0.18445040355077702</v>
      </c>
      <c r="AB103" s="16">
        <f t="shared" si="59"/>
        <v>616.86120196946808</v>
      </c>
      <c r="AC103" s="16">
        <f t="shared" si="60"/>
        <v>844.09869293956751</v>
      </c>
      <c r="AD103" s="16">
        <f t="shared" si="61"/>
        <v>864.23346212201307</v>
      </c>
      <c r="AE103" s="18">
        <f t="shared" si="62"/>
        <v>4459.2741149520361</v>
      </c>
      <c r="AF103" s="18">
        <f t="shared" si="63"/>
        <v>262.49795026723604</v>
      </c>
      <c r="AG103" s="18">
        <f t="shared" si="64"/>
        <v>2.9329332748578403</v>
      </c>
      <c r="AH103" s="18">
        <f t="shared" si="65"/>
        <v>-38767.48737787587</v>
      </c>
      <c r="AI103" s="18">
        <f t="shared" si="66"/>
        <v>-42964.263542560671</v>
      </c>
      <c r="AJ103" s="18">
        <f t="shared" si="47"/>
        <v>-43223.828559553047</v>
      </c>
    </row>
    <row r="104" spans="6:36" x14ac:dyDescent="0.4">
      <c r="F104">
        <v>44200</v>
      </c>
      <c r="G104" s="6">
        <f t="shared" si="69"/>
        <v>-1.2815068554072466</v>
      </c>
      <c r="H104" s="6">
        <f>(LN($D$13/$F104)+(sigma2^2/2))*(rate2+TimeofExpiration2)/(sigma2*SQRT(TimeofExpiration2))</f>
        <v>-2.5256560417277614</v>
      </c>
      <c r="I104" s="6">
        <f>(LN($E$13/$F104)+(sigma2^2/2))*(rate2+TimeofExpiration2)/(sigma2*SQRT(TimeofExpiration2))</f>
        <v>-3.8336350486102981</v>
      </c>
      <c r="J104">
        <f t="shared" si="48"/>
        <v>-1.3215068554072467</v>
      </c>
      <c r="K104">
        <f t="shared" si="49"/>
        <v>-2.5656560417277614</v>
      </c>
      <c r="L104">
        <f t="shared" si="29"/>
        <v>-3.8736350486102982</v>
      </c>
      <c r="M104" s="8">
        <f t="shared" si="67"/>
        <v>0.10000784677932506</v>
      </c>
      <c r="N104" s="8">
        <f t="shared" si="67"/>
        <v>5.7741241910377822E-3</v>
      </c>
      <c r="O104" s="8">
        <f t="shared" si="67"/>
        <v>6.3131714652088988E-5</v>
      </c>
      <c r="P104" s="8">
        <f t="shared" si="68"/>
        <v>-0.89999215322067494</v>
      </c>
      <c r="Q104" s="8">
        <f t="shared" si="68"/>
        <v>-0.99422587580896227</v>
      </c>
      <c r="R104" s="8">
        <f t="shared" si="68"/>
        <v>-0.99993686828534789</v>
      </c>
      <c r="S104" s="10">
        <f t="shared" si="50"/>
        <v>1.0446927845797523E-4</v>
      </c>
      <c r="T104" s="10">
        <f t="shared" si="51"/>
        <v>1.0271200345923959E-5</v>
      </c>
      <c r="U104" s="10">
        <f t="shared" si="52"/>
        <v>1.6892973292190441E-7</v>
      </c>
      <c r="V104" s="12">
        <f t="shared" si="53"/>
        <v>7371.3522879947313</v>
      </c>
      <c r="W104" s="12">
        <f t="shared" si="54"/>
        <v>657.35682213913333</v>
      </c>
      <c r="X104" s="12">
        <f t="shared" si="55"/>
        <v>9.7573813735691992</v>
      </c>
      <c r="Y104" s="14">
        <f t="shared" si="56"/>
        <v>66.698932961804616</v>
      </c>
      <c r="Z104" s="14">
        <f t="shared" si="57"/>
        <v>8.685511904834426</v>
      </c>
      <c r="AA104" s="14">
        <f t="shared" si="58"/>
        <v>0.14869308783586299</v>
      </c>
      <c r="AB104" s="16">
        <f t="shared" si="59"/>
        <v>638.340468645187</v>
      </c>
      <c r="AC104" s="16">
        <f t="shared" si="60"/>
        <v>848.88686622244074</v>
      </c>
      <c r="AD104" s="16">
        <f t="shared" si="61"/>
        <v>866.25402503606483</v>
      </c>
      <c r="AE104" s="18">
        <f t="shared" si="62"/>
        <v>4036.4056399045007</v>
      </c>
      <c r="AF104" s="18">
        <f t="shared" si="63"/>
        <v>223.08122689741205</v>
      </c>
      <c r="AG104" s="18">
        <f t="shared" si="64"/>
        <v>2.3227269817760496</v>
      </c>
      <c r="AH104" s="18">
        <f t="shared" si="65"/>
        <v>-39288.37572025408</v>
      </c>
      <c r="AI104" s="18">
        <f t="shared" si="66"/>
        <v>-43101.700133261169</v>
      </c>
      <c r="AJ104" s="18">
        <f t="shared" si="47"/>
        <v>-43322.458633176808</v>
      </c>
    </row>
    <row r="105" spans="6:36" x14ac:dyDescent="0.4">
      <c r="F105">
        <v>44300</v>
      </c>
      <c r="G105" s="6">
        <f t="shared" si="69"/>
        <v>-1.3391339985769022</v>
      </c>
      <c r="H105" s="6">
        <f>(LN($D$13/$F105)+(sigma2^2/2))*(rate2+TimeofExpiration2)/(sigma2*SQRT(TimeofExpiration2))</f>
        <v>-2.5832831848974185</v>
      </c>
      <c r="I105" s="6">
        <f>(LN($E$13/$F105)+(sigma2^2/2))*(rate2+TimeofExpiration2)/(sigma2*SQRT(TimeofExpiration2))</f>
        <v>-3.8912621917799566</v>
      </c>
      <c r="J105">
        <f t="shared" si="48"/>
        <v>-1.3791339985769022</v>
      </c>
      <c r="K105">
        <f t="shared" si="49"/>
        <v>-2.6232831848974185</v>
      </c>
      <c r="L105">
        <f t="shared" si="29"/>
        <v>-3.9312621917799566</v>
      </c>
      <c r="M105" s="8">
        <f t="shared" si="67"/>
        <v>9.0263527066994004E-2</v>
      </c>
      <c r="N105" s="8">
        <f t="shared" si="67"/>
        <v>4.8932478801918576E-3</v>
      </c>
      <c r="O105" s="8">
        <f t="shared" si="67"/>
        <v>4.9862049658156342E-5</v>
      </c>
      <c r="P105" s="8">
        <f t="shared" si="68"/>
        <v>-0.90973647293300597</v>
      </c>
      <c r="Q105" s="8">
        <f t="shared" si="68"/>
        <v>-0.99510675211980815</v>
      </c>
      <c r="R105" s="8">
        <f t="shared" si="68"/>
        <v>-0.99995013795034182</v>
      </c>
      <c r="S105" s="10">
        <f t="shared" si="50"/>
        <v>9.6871273447026566E-5</v>
      </c>
      <c r="T105" s="10">
        <f t="shared" si="51"/>
        <v>8.8652320029109036E-6</v>
      </c>
      <c r="U105" s="10">
        <f t="shared" si="52"/>
        <v>1.3521971409800458E-7</v>
      </c>
      <c r="V105" s="12">
        <f t="shared" si="53"/>
        <v>6835.237054422194</v>
      </c>
      <c r="W105" s="12">
        <f t="shared" si="54"/>
        <v>567.37484818629787</v>
      </c>
      <c r="X105" s="12">
        <f t="shared" si="55"/>
        <v>7.8102906863007444</v>
      </c>
      <c r="Y105" s="14">
        <f t="shared" si="56"/>
        <v>63.81807415558859</v>
      </c>
      <c r="Z105" s="14">
        <f t="shared" si="57"/>
        <v>7.5659417979067296</v>
      </c>
      <c r="AA105" s="14">
        <f t="shared" si="58"/>
        <v>0.11951308856775891</v>
      </c>
      <c r="AB105" s="16">
        <f t="shared" si="59"/>
        <v>658.86461652848607</v>
      </c>
      <c r="AC105" s="16">
        <f t="shared" si="60"/>
        <v>853.32697242023994</v>
      </c>
      <c r="AD105" s="16">
        <f t="shared" si="61"/>
        <v>868.26312601090092</v>
      </c>
      <c r="AE105" s="18">
        <f t="shared" si="62"/>
        <v>3644.3333466427648</v>
      </c>
      <c r="AF105" s="18">
        <f t="shared" si="63"/>
        <v>189.07775829096141</v>
      </c>
      <c r="AG105" s="18">
        <f t="shared" si="64"/>
        <v>1.8346362579127988</v>
      </c>
      <c r="AH105" s="18">
        <f t="shared" si="65"/>
        <v>-39778.467880846496</v>
      </c>
      <c r="AI105" s="18">
        <f t="shared" si="66"/>
        <v>-43233.723469198296</v>
      </c>
      <c r="AJ105" s="18">
        <f t="shared" si="47"/>
        <v>-43420.96659123135</v>
      </c>
    </row>
    <row r="106" spans="6:36" x14ac:dyDescent="0.4">
      <c r="F106">
        <v>44400</v>
      </c>
      <c r="G106" s="6">
        <f t="shared" si="69"/>
        <v>-1.3966312044476745</v>
      </c>
      <c r="H106" s="6">
        <f>(LN($D$13/$F106)+(sigma2^2/2))*(rate2+TimeofExpiration2)/(sigma2*SQRT(TimeofExpiration2))</f>
        <v>-2.6407803907681906</v>
      </c>
      <c r="I106" s="6">
        <f>(LN($E$13/$F106)+(sigma2^2/2))*(rate2+TimeofExpiration2)/(sigma2*SQRT(TimeofExpiration2))</f>
        <v>-3.9487593976507287</v>
      </c>
      <c r="J106">
        <f t="shared" si="48"/>
        <v>-1.4366312044476746</v>
      </c>
      <c r="K106">
        <f t="shared" si="49"/>
        <v>-2.6807803907681906</v>
      </c>
      <c r="L106">
        <f t="shared" si="29"/>
        <v>-3.9887593976507287</v>
      </c>
      <c r="M106" s="8">
        <f t="shared" si="67"/>
        <v>8.1262250825998805E-2</v>
      </c>
      <c r="N106" s="8">
        <f t="shared" si="67"/>
        <v>4.1357658178456744E-3</v>
      </c>
      <c r="O106" s="8">
        <f t="shared" si="67"/>
        <v>3.9278629893799018E-5</v>
      </c>
      <c r="P106" s="8">
        <f t="shared" si="68"/>
        <v>-0.91873774917400119</v>
      </c>
      <c r="Q106" s="8">
        <f t="shared" si="68"/>
        <v>-0.99586423418215431</v>
      </c>
      <c r="R106" s="8">
        <f t="shared" si="68"/>
        <v>-0.99996072137010616</v>
      </c>
      <c r="S106" s="10">
        <f t="shared" si="50"/>
        <v>8.9544310463631144E-5</v>
      </c>
      <c r="T106" s="10">
        <f t="shared" si="51"/>
        <v>7.6289679986301581E-6</v>
      </c>
      <c r="U106" s="10">
        <f t="shared" si="52"/>
        <v>1.0793306857950745E-7</v>
      </c>
      <c r="V106" s="12">
        <f t="shared" si="53"/>
        <v>6318.2465463138133</v>
      </c>
      <c r="W106" s="12">
        <f t="shared" si="54"/>
        <v>488.25395191233008</v>
      </c>
      <c r="X106" s="12">
        <f t="shared" si="55"/>
        <v>6.2342140411523506</v>
      </c>
      <c r="Y106" s="14">
        <f t="shared" si="56"/>
        <v>60.725604667553569</v>
      </c>
      <c r="Z106" s="14">
        <f t="shared" si="57"/>
        <v>6.5684442030919623</v>
      </c>
      <c r="AA106" s="14">
        <f t="shared" si="58"/>
        <v>9.5777861791073865E-2</v>
      </c>
      <c r="AB106" s="16">
        <f t="shared" si="59"/>
        <v>678.41216471139967</v>
      </c>
      <c r="AC106" s="16">
        <f t="shared" si="60"/>
        <v>857.45470802299747</v>
      </c>
      <c r="AD106" s="16">
        <f t="shared" si="61"/>
        <v>870.26283119654363</v>
      </c>
      <c r="AE106" s="18">
        <f t="shared" si="62"/>
        <v>3281.9663129361356</v>
      </c>
      <c r="AF106" s="18">
        <f t="shared" si="63"/>
        <v>159.83174175773198</v>
      </c>
      <c r="AG106" s="18">
        <f t="shared" si="64"/>
        <v>1.4453209515986578</v>
      </c>
      <c r="AH106" s="18">
        <f t="shared" si="65"/>
        <v>-40238.854781883798</v>
      </c>
      <c r="AI106" s="18">
        <f t="shared" si="66"/>
        <v>-43360.989353062207</v>
      </c>
      <c r="AJ106" s="18">
        <f t="shared" si="47"/>
        <v>-43519.375773868334</v>
      </c>
    </row>
    <row r="107" spans="6:36" x14ac:dyDescent="0.4">
      <c r="F107">
        <v>44500</v>
      </c>
      <c r="G107" s="6">
        <f t="shared" si="69"/>
        <v>-1.4539990576650692</v>
      </c>
      <c r="H107" s="6">
        <f>(LN($D$13/$F107)+(sigma2^2/2))*(rate2+TimeofExpiration2)/(sigma2*SQRT(TimeofExpiration2))</f>
        <v>-2.6981482439855857</v>
      </c>
      <c r="I107" s="6">
        <f>(LN($E$13/$F107)+(sigma2^2/2))*(rate2+TimeofExpiration2)/(sigma2*SQRT(TimeofExpiration2))</f>
        <v>-4.0061272508681238</v>
      </c>
      <c r="J107">
        <f t="shared" si="48"/>
        <v>-1.4939990576650692</v>
      </c>
      <c r="K107">
        <f t="shared" si="49"/>
        <v>-2.7381482439855858</v>
      </c>
      <c r="L107">
        <f t="shared" si="29"/>
        <v>-4.0461272508681239</v>
      </c>
      <c r="M107" s="8">
        <f t="shared" si="67"/>
        <v>7.297328372628456E-2</v>
      </c>
      <c r="N107" s="8">
        <f t="shared" si="67"/>
        <v>3.4863191412610973E-3</v>
      </c>
      <c r="O107" s="8">
        <f t="shared" si="67"/>
        <v>3.0861202739346458E-5</v>
      </c>
      <c r="P107" s="8">
        <f t="shared" si="68"/>
        <v>-0.92702671627371547</v>
      </c>
      <c r="Q107" s="8">
        <f t="shared" si="68"/>
        <v>-0.99651368085873893</v>
      </c>
      <c r="R107" s="8">
        <f t="shared" si="68"/>
        <v>-0.99996913879726068</v>
      </c>
      <c r="S107" s="10">
        <f t="shared" si="50"/>
        <v>8.2513863571746719E-5</v>
      </c>
      <c r="T107" s="10">
        <f t="shared" si="51"/>
        <v>6.5457183132964214E-6</v>
      </c>
      <c r="U107" s="10">
        <f t="shared" si="52"/>
        <v>8.5912893340937503E-8</v>
      </c>
      <c r="V107" s="12">
        <f t="shared" si="53"/>
        <v>5822.1782136224483</v>
      </c>
      <c r="W107" s="12">
        <f t="shared" si="54"/>
        <v>418.92597205097098</v>
      </c>
      <c r="X107" s="12">
        <f t="shared" si="55"/>
        <v>4.9623287193725503</v>
      </c>
      <c r="Y107" s="14">
        <f t="shared" si="56"/>
        <v>57.481418447174335</v>
      </c>
      <c r="Z107" s="14">
        <f t="shared" si="57"/>
        <v>5.6834762376188639</v>
      </c>
      <c r="AA107" s="14">
        <f t="shared" si="58"/>
        <v>7.6533400221955372E-2</v>
      </c>
      <c r="AB107" s="16">
        <f t="shared" si="59"/>
        <v>696.97110914528855</v>
      </c>
      <c r="AC107" s="16">
        <f t="shared" si="60"/>
        <v>861.30325659859227</v>
      </c>
      <c r="AD107" s="16">
        <f t="shared" si="61"/>
        <v>872.25485949445908</v>
      </c>
      <c r="AE107" s="18">
        <f t="shared" si="62"/>
        <v>2948.1072912637314</v>
      </c>
      <c r="AF107" s="18">
        <f t="shared" si="63"/>
        <v>134.75216017002779</v>
      </c>
      <c r="AG107" s="18">
        <f t="shared" si="64"/>
        <v>1.1356587082747809</v>
      </c>
      <c r="AH107" s="18">
        <f t="shared" si="65"/>
        <v>-40670.733670886875</v>
      </c>
      <c r="AI107" s="18">
        <f t="shared" si="66"/>
        <v>-43484.088801980579</v>
      </c>
      <c r="AJ107" s="18">
        <f t="shared" si="47"/>
        <v>-43617.70530344233</v>
      </c>
    </row>
    <row r="108" spans="6:36" x14ac:dyDescent="0.4">
      <c r="F108">
        <v>44600</v>
      </c>
      <c r="G108" s="6">
        <f t="shared" si="69"/>
        <v>-1.5112381389375755</v>
      </c>
      <c r="H108" s="6">
        <f>(LN($D$13/$F108)+(sigma2^2/2))*(rate2+TimeofExpiration2)/(sigma2*SQRT(TimeofExpiration2))</f>
        <v>-2.7553873252580918</v>
      </c>
      <c r="I108" s="6">
        <f>(LN($E$13/$F108)+(sigma2^2/2))*(rate2+TimeofExpiration2)/(sigma2*SQRT(TimeofExpiration2))</f>
        <v>-4.0633663321406317</v>
      </c>
      <c r="J108">
        <f t="shared" si="48"/>
        <v>-1.5512381389375756</v>
      </c>
      <c r="K108">
        <f t="shared" si="49"/>
        <v>-2.7953873252580919</v>
      </c>
      <c r="L108">
        <f t="shared" ref="L108:L112" si="70">$I108-sigma2*SQRT(TimeofExpiration2)</f>
        <v>-4.1033663321406317</v>
      </c>
      <c r="M108" s="8">
        <f t="shared" si="67"/>
        <v>6.5363894283631749E-2</v>
      </c>
      <c r="N108" s="8">
        <f t="shared" si="67"/>
        <v>2.9311346017627921E-3</v>
      </c>
      <c r="O108" s="8">
        <f t="shared" si="67"/>
        <v>2.4185013180465213E-5</v>
      </c>
      <c r="P108" s="8">
        <f t="shared" si="68"/>
        <v>-0.93463610571636824</v>
      </c>
      <c r="Q108" s="8">
        <f t="shared" si="68"/>
        <v>-0.99706886539823725</v>
      </c>
      <c r="R108" s="8">
        <f t="shared" si="68"/>
        <v>-0.99997581498681953</v>
      </c>
      <c r="S108" s="10">
        <f t="shared" si="50"/>
        <v>7.5800326200257574E-5</v>
      </c>
      <c r="T108" s="10">
        <f t="shared" si="51"/>
        <v>5.5998144341618585E-6</v>
      </c>
      <c r="U108" s="10">
        <f t="shared" si="52"/>
        <v>6.8196191168074341E-8</v>
      </c>
      <c r="V108" s="12">
        <f t="shared" si="53"/>
        <v>5348.4710166901741</v>
      </c>
      <c r="W108" s="12">
        <f t="shared" si="54"/>
        <v>358.3881237863589</v>
      </c>
      <c r="X108" s="12">
        <f t="shared" si="55"/>
        <v>3.9390120018679737</v>
      </c>
      <c r="Y108" s="14">
        <f t="shared" si="56"/>
        <v>54.13994361836842</v>
      </c>
      <c r="Z108" s="14">
        <f t="shared" si="57"/>
        <v>4.9015867271399749</v>
      </c>
      <c r="AA108" s="14">
        <f t="shared" si="58"/>
        <v>6.0979532386440431E-2</v>
      </c>
      <c r="AB108" s="16">
        <f t="shared" si="59"/>
        <v>714.53831954038719</v>
      </c>
      <c r="AC108" s="16">
        <f t="shared" si="60"/>
        <v>864.90327836531128</v>
      </c>
      <c r="AD108" s="16">
        <f t="shared" si="61"/>
        <v>874.24063564193739</v>
      </c>
      <c r="AE108" s="18">
        <f t="shared" si="62"/>
        <v>2641.4738357717533</v>
      </c>
      <c r="AF108" s="18">
        <f t="shared" si="63"/>
        <v>113.30878742936017</v>
      </c>
      <c r="AG108" s="18">
        <f t="shared" si="64"/>
        <v>0.89003538254595249</v>
      </c>
      <c r="AH108" s="18">
        <f t="shared" si="65"/>
        <v>-41075.386993709537</v>
      </c>
      <c r="AI108" s="18">
        <f t="shared" si="66"/>
        <v>-43603.552042051924</v>
      </c>
      <c r="AJ108" s="18">
        <f t="shared" ref="AJ108:AJ112" si="71">-$F108*TimeofExpiration2*EXP(-rate2*TimeofExpiration2)*_xlfn.NORM.S.DIST(-$L108,TRUE)</f>
        <v>-43715.970794098743</v>
      </c>
    </row>
    <row r="109" spans="6:36" x14ac:dyDescent="0.4">
      <c r="F109">
        <v>44700</v>
      </c>
      <c r="G109" s="6">
        <f t="shared" si="69"/>
        <v>-1.5683490250719492</v>
      </c>
      <c r="H109" s="6">
        <f>(LN($D$13/$F109)+(sigma2^2/2))*(rate2+TimeofExpiration2)/(sigma2*SQRT(TimeofExpiration2))</f>
        <v>-2.8124982113924659</v>
      </c>
      <c r="I109" s="6">
        <f>(LN($E$13/$F109)+(sigma2^2/2))*(rate2+TimeofExpiration2)/(sigma2*SQRT(TimeofExpiration2))</f>
        <v>-4.1204772182750045</v>
      </c>
      <c r="J109">
        <f t="shared" si="48"/>
        <v>-1.6083490250719492</v>
      </c>
      <c r="K109">
        <f t="shared" si="49"/>
        <v>-2.852498211392466</v>
      </c>
      <c r="L109">
        <f t="shared" si="70"/>
        <v>-4.1604772182750045</v>
      </c>
      <c r="M109" s="8">
        <f t="shared" si="67"/>
        <v>5.8399850237454268E-2</v>
      </c>
      <c r="N109" s="8">
        <f t="shared" si="67"/>
        <v>2.4579148448534149E-3</v>
      </c>
      <c r="O109" s="8">
        <f t="shared" si="67"/>
        <v>1.8904422653759478E-5</v>
      </c>
      <c r="P109" s="8">
        <f t="shared" si="68"/>
        <v>-0.94160014976254569</v>
      </c>
      <c r="Q109" s="8">
        <f t="shared" si="68"/>
        <v>-0.99754208515514664</v>
      </c>
      <c r="R109" s="8">
        <f t="shared" si="68"/>
        <v>-0.99998109557734627</v>
      </c>
      <c r="S109" s="10">
        <f t="shared" si="50"/>
        <v>6.941920929033469E-5</v>
      </c>
      <c r="T109" s="10">
        <f t="shared" si="51"/>
        <v>4.7766526654023306E-6</v>
      </c>
      <c r="U109" s="10">
        <f t="shared" si="52"/>
        <v>5.3984417318241733E-8</v>
      </c>
      <c r="V109" s="12">
        <f t="shared" si="53"/>
        <v>4898.2194075260149</v>
      </c>
      <c r="W109" s="12">
        <f t="shared" si="54"/>
        <v>305.70577058574918</v>
      </c>
      <c r="X109" s="12">
        <f t="shared" si="55"/>
        <v>3.1181399443016424</v>
      </c>
      <c r="Y109" s="14">
        <f t="shared" si="56"/>
        <v>50.750016394765872</v>
      </c>
      <c r="Z109" s="14">
        <f t="shared" si="57"/>
        <v>4.213554854565583</v>
      </c>
      <c r="AA109" s="14">
        <f t="shared" si="58"/>
        <v>4.8447924634265643E-2</v>
      </c>
      <c r="AB109" s="16">
        <f t="shared" si="59"/>
        <v>731.11885402996438</v>
      </c>
      <c r="AC109" s="16">
        <f t="shared" si="60"/>
        <v>868.28293796737466</v>
      </c>
      <c r="AD109" s="16">
        <f t="shared" si="61"/>
        <v>876.22133626310131</v>
      </c>
      <c r="AE109" s="18">
        <f t="shared" si="62"/>
        <v>2360.7185877877209</v>
      </c>
      <c r="AF109" s="18">
        <f t="shared" si="63"/>
        <v>95.028027857470036</v>
      </c>
      <c r="AG109" s="18">
        <f t="shared" si="64"/>
        <v>0.69574371258836021</v>
      </c>
      <c r="AH109" s="18">
        <f t="shared" si="65"/>
        <v>-41454.162109024241</v>
      </c>
      <c r="AI109" s="18">
        <f t="shared" si="66"/>
        <v>-43719.852668954489</v>
      </c>
      <c r="AJ109" s="18">
        <f t="shared" si="71"/>
        <v>-43814.184953099371</v>
      </c>
    </row>
    <row r="110" spans="6:36" x14ac:dyDescent="0.4">
      <c r="F110">
        <v>44800</v>
      </c>
      <c r="G110" s="6">
        <f t="shared" si="69"/>
        <v>-1.6253322890080653</v>
      </c>
      <c r="H110" s="6">
        <f>(LN($D$13/$F110)+(sigma2^2/2))*(rate2+TimeofExpiration2)/(sigma2*SQRT(TimeofExpiration2))</f>
        <v>-2.8694814753285796</v>
      </c>
      <c r="I110" s="6">
        <f>(LN($E$13/$F110)+(sigma2^2/2))*(rate2+TimeofExpiration2)/(sigma2*SQRT(TimeofExpiration2))</f>
        <v>-4.1774604822111199</v>
      </c>
      <c r="J110">
        <f t="shared" si="48"/>
        <v>-1.6653322890080653</v>
      </c>
      <c r="K110">
        <f t="shared" si="49"/>
        <v>-2.9094814753285796</v>
      </c>
      <c r="L110">
        <f t="shared" si="70"/>
        <v>-4.2174604822111199</v>
      </c>
      <c r="M110" s="8">
        <f t="shared" si="67"/>
        <v>5.2045887476578886E-2</v>
      </c>
      <c r="N110" s="8">
        <f t="shared" si="67"/>
        <v>2.0557270761418674E-3</v>
      </c>
      <c r="O110" s="8">
        <f t="shared" si="67"/>
        <v>1.4739092918404108E-5</v>
      </c>
      <c r="P110" s="8">
        <f t="shared" si="68"/>
        <v>-0.9479541125234211</v>
      </c>
      <c r="Q110" s="8">
        <f t="shared" si="68"/>
        <v>-0.99794427292385812</v>
      </c>
      <c r="R110" s="8">
        <f t="shared" si="68"/>
        <v>-0.99998526090708162</v>
      </c>
      <c r="S110" s="10">
        <f t="shared" si="50"/>
        <v>6.3381399018242379E-5</v>
      </c>
      <c r="T110" s="10">
        <f t="shared" si="51"/>
        <v>4.062713694131418E-6</v>
      </c>
      <c r="U110" s="10">
        <f t="shared" si="52"/>
        <v>4.2617870034046135E-8</v>
      </c>
      <c r="V110" s="12">
        <f t="shared" si="53"/>
        <v>4472.191514727182</v>
      </c>
      <c r="W110" s="12">
        <f t="shared" si="54"/>
        <v>260.01367642441079</v>
      </c>
      <c r="X110" s="12">
        <f t="shared" si="55"/>
        <v>2.4616081731665047</v>
      </c>
      <c r="Y110" s="14">
        <f t="shared" si="56"/>
        <v>47.35486082133572</v>
      </c>
      <c r="Z110" s="14">
        <f t="shared" si="57"/>
        <v>3.6104998791265714</v>
      </c>
      <c r="AA110" s="14">
        <f t="shared" si="58"/>
        <v>3.8382642570128266E-2</v>
      </c>
      <c r="AB110" s="16">
        <f t="shared" si="59"/>
        <v>746.72521151510114</v>
      </c>
      <c r="AC110" s="16">
        <f t="shared" si="60"/>
        <v>871.46796410500292</v>
      </c>
      <c r="AD110" s="16">
        <f t="shared" si="61"/>
        <v>878.19792959849622</v>
      </c>
      <c r="AE110" s="18">
        <f t="shared" si="62"/>
        <v>2104.4484736603958</v>
      </c>
      <c r="AF110" s="18">
        <f t="shared" si="63"/>
        <v>79.488682468082175</v>
      </c>
      <c r="AG110" s="18">
        <f t="shared" si="64"/>
        <v>0.54247604466009169</v>
      </c>
      <c r="AH110" s="18">
        <f t="shared" si="65"/>
        <v>-41808.452090482235</v>
      </c>
      <c r="AI110" s="18">
        <f t="shared" si="66"/>
        <v>-43833.411881674547</v>
      </c>
      <c r="AJ110" s="18">
        <f t="shared" si="71"/>
        <v>-43912.358088097972</v>
      </c>
    </row>
    <row r="111" spans="6:36" x14ac:dyDescent="0.4">
      <c r="F111">
        <v>44900</v>
      </c>
      <c r="G111" s="6">
        <f t="shared" si="69"/>
        <v>-1.6821884998534267</v>
      </c>
      <c r="H111" s="6">
        <f>(LN($D$13/$F111)+(sigma2^2/2))*(rate2+TimeofExpiration2)/(sigma2*SQRT(TimeofExpiration2))</f>
        <v>-2.9263376861739427</v>
      </c>
      <c r="I111" s="6">
        <f>(LN($E$13/$F111)+(sigma2^2/2))*(rate2+TimeofExpiration2)/(sigma2*SQRT(TimeofExpiration2))</f>
        <v>-4.2343166930564839</v>
      </c>
      <c r="J111">
        <f t="shared" si="48"/>
        <v>-1.7221884998534267</v>
      </c>
      <c r="K111">
        <f t="shared" si="49"/>
        <v>-2.9663376861739428</v>
      </c>
      <c r="L111">
        <f t="shared" si="70"/>
        <v>-4.274316693056484</v>
      </c>
      <c r="M111" s="8">
        <f t="shared" si="67"/>
        <v>4.6266146708465405E-2</v>
      </c>
      <c r="N111" s="8">
        <f t="shared" si="67"/>
        <v>1.7148921365755145E-3</v>
      </c>
      <c r="O111" s="8">
        <f t="shared" si="67"/>
        <v>1.1462384535252693E-5</v>
      </c>
      <c r="P111" s="8">
        <f t="shared" si="68"/>
        <v>-0.95373385329153459</v>
      </c>
      <c r="Q111" s="8">
        <f t="shared" si="68"/>
        <v>-0.9982851078634245</v>
      </c>
      <c r="R111" s="8">
        <f t="shared" si="68"/>
        <v>-0.9999885376154648</v>
      </c>
      <c r="S111" s="10">
        <f t="shared" si="50"/>
        <v>5.7693463210066947E-5</v>
      </c>
      <c r="T111" s="10">
        <f t="shared" si="51"/>
        <v>3.4455618746918341E-6</v>
      </c>
      <c r="U111" s="10">
        <f t="shared" si="52"/>
        <v>3.355355306385797E-8</v>
      </c>
      <c r="V111" s="12">
        <f t="shared" si="53"/>
        <v>4070.8507641023234</v>
      </c>
      <c r="W111" s="12">
        <f t="shared" si="54"/>
        <v>220.51595998027736</v>
      </c>
      <c r="X111" s="12">
        <f t="shared" si="55"/>
        <v>1.9380532249684363</v>
      </c>
      <c r="Y111" s="14">
        <f t="shared" si="56"/>
        <v>43.992162993000626</v>
      </c>
      <c r="Z111" s="14">
        <f t="shared" si="57"/>
        <v>3.0839647723871861</v>
      </c>
      <c r="AA111" s="14">
        <f t="shared" si="58"/>
        <v>3.0323098803239891E-2</v>
      </c>
      <c r="AB111" s="16">
        <f t="shared" si="59"/>
        <v>761.37654105837396</v>
      </c>
      <c r="AC111" s="16">
        <f t="shared" si="60"/>
        <v>874.48173500264238</v>
      </c>
      <c r="AD111" s="16">
        <f t="shared" si="61"/>
        <v>880.1712095992707</v>
      </c>
      <c r="AE111" s="18">
        <f t="shared" si="62"/>
        <v>1871.2426144522929</v>
      </c>
      <c r="AF111" s="18">
        <f t="shared" si="63"/>
        <v>66.317721360918085</v>
      </c>
      <c r="AG111" s="18">
        <f t="shared" si="64"/>
        <v>0.4218982848064417</v>
      </c>
      <c r="AH111" s="18">
        <f t="shared" si="65"/>
        <v>-42139.677817021024</v>
      </c>
      <c r="AI111" s="18">
        <f t="shared" si="66"/>
        <v>-43944.602710112398</v>
      </c>
      <c r="AJ111" s="18">
        <f t="shared" si="71"/>
        <v>-44010.498533188504</v>
      </c>
    </row>
    <row r="112" spans="6:36" x14ac:dyDescent="0.4">
      <c r="F112">
        <v>45000</v>
      </c>
      <c r="G112" s="6">
        <f t="shared" si="69"/>
        <v>-1.7389182229172617</v>
      </c>
      <c r="H112" s="6">
        <f>(LN($D$13/$F112)+(sigma2^2/2))*(rate2+TimeofExpiration2)/(sigma2*SQRT(TimeofExpiration2))</f>
        <v>-2.9830674092377798</v>
      </c>
      <c r="I112" s="6">
        <f>(LN($E$13/$F112)+(sigma2^2/2))*(rate2+TimeofExpiration2)/(sigma2*SQRT(TimeofExpiration2))</f>
        <v>-4.2910464161203175</v>
      </c>
      <c r="J112">
        <f t="shared" si="48"/>
        <v>-1.7789182229172618</v>
      </c>
      <c r="K112">
        <f t="shared" si="49"/>
        <v>-3.0230674092377798</v>
      </c>
      <c r="L112">
        <f t="shared" si="70"/>
        <v>-4.3310464161203175</v>
      </c>
      <c r="M112" s="8">
        <f t="shared" si="67"/>
        <v>4.1024574179587048E-2</v>
      </c>
      <c r="N112" s="8">
        <f t="shared" si="67"/>
        <v>1.4268756698391273E-3</v>
      </c>
      <c r="O112" s="8">
        <f t="shared" si="67"/>
        <v>8.891656769266032E-6</v>
      </c>
      <c r="P112" s="8">
        <f t="shared" si="68"/>
        <v>-0.95897542582041295</v>
      </c>
      <c r="Q112" s="8">
        <f t="shared" si="68"/>
        <v>-0.99857312433016088</v>
      </c>
      <c r="R112" s="8">
        <f t="shared" si="68"/>
        <v>-0.99999110834323068</v>
      </c>
      <c r="S112" s="10">
        <f t="shared" si="50"/>
        <v>5.235799560979666E-5</v>
      </c>
      <c r="T112" s="10">
        <f t="shared" si="51"/>
        <v>2.9138275683663274E-6</v>
      </c>
      <c r="U112" s="10">
        <f t="shared" si="52"/>
        <v>2.6346146390487456E-8</v>
      </c>
      <c r="V112" s="12">
        <f t="shared" si="53"/>
        <v>3694.3801702272522</v>
      </c>
      <c r="W112" s="12">
        <f t="shared" si="54"/>
        <v>186.48496437544495</v>
      </c>
      <c r="X112" s="12">
        <f t="shared" si="55"/>
        <v>1.5217534155145556</v>
      </c>
      <c r="Y112" s="14">
        <f t="shared" si="56"/>
        <v>40.694227555452947</v>
      </c>
      <c r="Z112" s="14">
        <f t="shared" si="57"/>
        <v>2.6259767216956278</v>
      </c>
      <c r="AA112" s="14">
        <f t="shared" si="58"/>
        <v>2.3889196089121267E-2</v>
      </c>
      <c r="AB112" s="16">
        <f t="shared" si="59"/>
        <v>775.09782672244251</v>
      </c>
      <c r="AC112" s="16">
        <f t="shared" si="60"/>
        <v>877.34538412275765</v>
      </c>
      <c r="AD112" s="16">
        <f t="shared" si="61"/>
        <v>882.14182503554821</v>
      </c>
      <c r="AE112" s="18">
        <f t="shared" si="62"/>
        <v>1659.6687924546043</v>
      </c>
      <c r="AF112" s="18">
        <f t="shared" si="63"/>
        <v>55.186128290663561</v>
      </c>
      <c r="AG112" s="18">
        <f t="shared" si="64"/>
        <v>0.3272936110584922</v>
      </c>
      <c r="AH112" s="18">
        <f t="shared" si="65"/>
        <v>-42449.271506349382</v>
      </c>
      <c r="AI112" s="18">
        <f t="shared" si="66"/>
        <v>-44053.754170513326</v>
      </c>
      <c r="AJ112" s="18">
        <f t="shared" si="71"/>
        <v>-44108.613005192929</v>
      </c>
    </row>
  </sheetData>
  <phoneticPr fontId="1"/>
  <dataValidations count="1">
    <dataValidation type="list" allowBlank="1" showInputMessage="1" showErrorMessage="1" sqref="C12" xr:uid="{AFE6A907-281E-4ABD-8813-F1B7E9B06DED}">
      <formula1>"Call, Put"</formula1>
    </dataValidation>
  </dataValidations>
  <hyperlinks>
    <hyperlink ref="M2" r:id="rId1" xr:uid="{C5585307-C17A-411B-81E1-91913BCAAB10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0B3F8-651B-4DE0-842C-A2AA7B08F057}">
  <sheetPr codeName="Sheet5">
    <tabColor theme="9" tint="0.59999389629810485"/>
  </sheetPr>
  <dimension ref="A1"/>
  <sheetViews>
    <sheetView workbookViewId="0">
      <selection activeCell="G36" sqref="G36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E9F38-537C-43D3-ADB4-B6A2A1EDD982}">
  <sheetPr codeName="Sheet6"/>
  <dimension ref="B2:T61"/>
  <sheetViews>
    <sheetView topLeftCell="H1" zoomScale="85" zoomScaleNormal="85" workbookViewId="0">
      <selection activeCell="E31" sqref="E31"/>
    </sheetView>
  </sheetViews>
  <sheetFormatPr defaultRowHeight="18.75" x14ac:dyDescent="0.4"/>
  <cols>
    <col min="3" max="3" width="9.375" bestFit="1" customWidth="1"/>
    <col min="4" max="4" width="9.375" customWidth="1"/>
    <col min="5" max="5" width="12.625" customWidth="1"/>
    <col min="6" max="6" width="9.375" customWidth="1"/>
    <col min="7" max="7" width="12.375" bestFit="1" customWidth="1"/>
    <col min="8" max="8" width="10.5" bestFit="1" customWidth="1"/>
    <col min="11" max="11" width="9.375" bestFit="1" customWidth="1"/>
    <col min="13" max="13" width="9.375" bestFit="1" customWidth="1"/>
  </cols>
  <sheetData>
    <row r="2" spans="2:20" x14ac:dyDescent="0.4">
      <c r="B2" s="1" t="s">
        <v>6</v>
      </c>
      <c r="G2" s="1" t="s">
        <v>10</v>
      </c>
      <c r="J2" s="1" t="s">
        <v>9</v>
      </c>
      <c r="K2" s="1"/>
    </row>
    <row r="3" spans="2:20" x14ac:dyDescent="0.4">
      <c r="B3" t="s">
        <v>7</v>
      </c>
      <c r="C3" t="s">
        <v>8</v>
      </c>
      <c r="G3" t="s">
        <v>11</v>
      </c>
      <c r="H3">
        <v>6000</v>
      </c>
      <c r="J3" t="s">
        <v>5</v>
      </c>
      <c r="K3">
        <v>9.9999999999999995E-8</v>
      </c>
    </row>
    <row r="4" spans="2:20" x14ac:dyDescent="0.4">
      <c r="B4" t="s">
        <v>41</v>
      </c>
      <c r="C4">
        <v>40000</v>
      </c>
      <c r="D4">
        <v>35000</v>
      </c>
      <c r="E4">
        <v>30000</v>
      </c>
      <c r="G4" t="s">
        <v>12</v>
      </c>
      <c r="H4">
        <v>500</v>
      </c>
    </row>
    <row r="5" spans="2:20" x14ac:dyDescent="0.4">
      <c r="B5" t="s">
        <v>1</v>
      </c>
      <c r="C5">
        <v>35000</v>
      </c>
    </row>
    <row r="6" spans="2:20" x14ac:dyDescent="0.4">
      <c r="B6" t="s">
        <v>2</v>
      </c>
      <c r="C6">
        <v>0.02</v>
      </c>
    </row>
    <row r="7" spans="2:20" x14ac:dyDescent="0.4">
      <c r="B7" t="s">
        <v>3</v>
      </c>
      <c r="C7">
        <v>0.05</v>
      </c>
    </row>
    <row r="8" spans="2:20" x14ac:dyDescent="0.4">
      <c r="B8" t="s">
        <v>4</v>
      </c>
      <c r="C8">
        <v>1</v>
      </c>
    </row>
    <row r="10" spans="2:20" x14ac:dyDescent="0.4">
      <c r="C10" cm="1">
        <f t="array" ref="C10">B76optionValue(StockPrice,StrikePrice,rate,sigma,TimeofExpiration,Style)</f>
        <v>4903.1320099494533</v>
      </c>
      <c r="D10" t="e" cm="1">
        <f t="array" aca="1" ref="D10" ca="1">B76ImpliedVolatility(MarketCallOptioin,StockPrice,StrikePrice,rate,sigma,TimeofExpiration,K3,Style)</f>
        <v>#NAME?</v>
      </c>
    </row>
    <row r="12" spans="2:20" x14ac:dyDescent="0.4">
      <c r="B12" t="s">
        <v>3</v>
      </c>
      <c r="C12" t="s">
        <v>24</v>
      </c>
      <c r="D12" t="s">
        <v>26</v>
      </c>
      <c r="E12" t="s">
        <v>25</v>
      </c>
      <c r="G12" t="s">
        <v>3</v>
      </c>
      <c r="H12" t="s">
        <v>24</v>
      </c>
      <c r="I12" t="s">
        <v>26</v>
      </c>
      <c r="J12" t="s">
        <v>25</v>
      </c>
      <c r="L12" t="s">
        <v>14</v>
      </c>
      <c r="M12" t="s">
        <v>24</v>
      </c>
      <c r="N12" t="s">
        <v>26</v>
      </c>
      <c r="O12" t="s">
        <v>25</v>
      </c>
      <c r="Q12" t="s">
        <v>14</v>
      </c>
      <c r="R12" t="s">
        <v>24</v>
      </c>
      <c r="S12" t="s">
        <v>26</v>
      </c>
      <c r="T12" t="s">
        <v>25</v>
      </c>
    </row>
    <row r="13" spans="2:20" x14ac:dyDescent="0.4">
      <c r="B13">
        <v>0.05</v>
      </c>
      <c r="C13" cm="1">
        <f t="array" ref="C13">B76optionValue(C$4,StrikePrice,rate,B13,TimeofExpiration,Style)</f>
        <v>4903.1320099494533</v>
      </c>
      <c r="D13" cm="1">
        <f t="array" ref="D13">B76optionValue(D$4,StrikePrice,rate,$B13,TimeofExpiration,Style)</f>
        <v>684.25343731498913</v>
      </c>
      <c r="E13" cm="1">
        <f t="array" ref="E13">B76optionValue(E$4,StrikePrice,rate,$B13,TimeofExpiration,Style)</f>
        <v>0.45116045062817728</v>
      </c>
      <c r="G13">
        <v>0.05</v>
      </c>
      <c r="H13" cm="1">
        <f t="array" ref="H13">B76optionValue(StockPrice,StrikePrice,rate,$G13,TimeofExpiration,Style)</f>
        <v>4903.1320099494533</v>
      </c>
      <c r="I13" cm="1">
        <f t="array" ref="I13">B76optionValue(D$4,StrikePrice,rate,$G13,TimeofExpiration,Style)</f>
        <v>684.25343731498913</v>
      </c>
      <c r="J13" cm="1">
        <f t="array" ref="J13">B76optionValue(E$4,StrikePrice,rate,$G13,TimeofExpiration,Style)</f>
        <v>0.45116045062817728</v>
      </c>
      <c r="L13">
        <v>0.02</v>
      </c>
      <c r="M13" cm="1">
        <f t="array" ref="M13">B76optionValue(C$4,StrikePrice,$L13,sigma,TimeofExpiration,Style)</f>
        <v>4903.1320099494533</v>
      </c>
      <c r="N13" cm="1">
        <f t="array" ref="N13">B76optionValue(D$4,StrikePrice,$L13,sigma,TimeofExpiration,Style)</f>
        <v>684.25343731498913</v>
      </c>
      <c r="O13" cm="1">
        <f t="array" ref="O13">B76optionValue(E$4,StrikePrice,$L13,sigma,TimeofExpiration,Style)</f>
        <v>0.45116045062817728</v>
      </c>
      <c r="Q13">
        <v>0</v>
      </c>
      <c r="R13" cm="1">
        <f t="array" ref="R13">B76optionValue(C$4,StrikePrice,$Q13,sigma,TimeofExpiration,Style)</f>
        <v>5002.1818468785132</v>
      </c>
      <c r="S13" cm="1">
        <f t="array" ref="S13">B76optionValue(D$4,StrikePrice,$Q13,sigma,TimeofExpiration,Style)</f>
        <v>698.07627366666566</v>
      </c>
      <c r="T13" cm="1">
        <f t="array" ref="T13">B76optionValue(E$4,StrikePrice,$Q13,sigma,TimeofExpiration,Style)</f>
        <v>0.46027449629794148</v>
      </c>
    </row>
    <row r="14" spans="2:20" x14ac:dyDescent="0.4">
      <c r="B14">
        <v>0.06</v>
      </c>
      <c r="C14" cm="1">
        <f t="array" ref="C14">B76optionValue(C$4,StrikePrice,rate,B14,TimeofExpiration,Style)</f>
        <v>4910.987859519395</v>
      </c>
      <c r="D14" cm="1">
        <f t="array" ref="D14">B76optionValue(D$4,StrikePrice,rate,$B14,TimeofExpiration,Style)</f>
        <v>821.06649552716624</v>
      </c>
      <c r="E14" cm="1">
        <f t="array" ref="E14">B76optionValue(E$4,StrikePrice,rate,$B14,TimeofExpiration,Style)</f>
        <v>3.0750127283883169</v>
      </c>
      <c r="G14">
        <v>0.1</v>
      </c>
      <c r="H14" cm="1">
        <f t="array" ref="H14">B76optionValue(StockPrice,StrikePrice,rate,G14,TimeofExpiration,Style)</f>
        <v>5055.6840605838679</v>
      </c>
      <c r="I14" cm="1">
        <f t="array" ref="I14">B76optionValue(D$4,StrikePrice,rate,$G14,TimeofExpiration,Style)</f>
        <v>1368.0793721065568</v>
      </c>
      <c r="J14" cm="1">
        <f t="array" ref="J14">B76optionValue(E$4,StrikePrice,rate,$G14,TimeofExpiration,Style)</f>
        <v>84.546936825776797</v>
      </c>
      <c r="L14">
        <v>0.03</v>
      </c>
      <c r="M14" cm="1">
        <f t="array" ref="M14">B76optionValue(C$4,StrikePrice,$L14,sigma,TimeofExpiration,Style)</f>
        <v>4854.3450313006806</v>
      </c>
      <c r="N14" cm="1">
        <f t="array" ref="N14">B76optionValue(D$4,StrikePrice,$L14,sigma,TimeofExpiration,Style)</f>
        <v>677.4450018560018</v>
      </c>
      <c r="O14" cm="1">
        <f t="array" ref="O14">B76optionValue(E$4,StrikePrice,$L14,sigma,TimeofExpiration,Style)</f>
        <v>0.44667132913862667</v>
      </c>
      <c r="Q14">
        <v>0.1</v>
      </c>
      <c r="R14" cm="1">
        <f t="array" ref="R14">B76optionValue(C$4,StrikePrice,$Q14,sigma,TimeofExpiration,Style)</f>
        <v>4526.1613068759016</v>
      </c>
      <c r="S14" cm="1">
        <f t="array" ref="S14">B76optionValue(D$4,StrikePrice,$Q14,sigma,TimeofExpiration,Style)</f>
        <v>631.64553305670961</v>
      </c>
      <c r="T14" cm="1">
        <f t="array" ref="T14">B76optionValue(E$4,StrikePrice,$Q14,sigma,TimeofExpiration,Style)</f>
        <v>0.41647358681803121</v>
      </c>
    </row>
    <row r="15" spans="2:20" x14ac:dyDescent="0.4">
      <c r="B15">
        <v>7.0000000000000007E-2</v>
      </c>
      <c r="C15" cm="1">
        <f t="array" ref="C15">B76optionValue(C$4,StrikePrice,rate,B15,TimeofExpiration,Style)</f>
        <v>4928.8051170762601</v>
      </c>
      <c r="D15" cm="1">
        <f t="array" ref="D15">B76optionValue(D$4,StrikePrice,rate,$B15,TimeofExpiration,Style)</f>
        <v>957.85903336242632</v>
      </c>
      <c r="E15" cm="1">
        <f t="array" ref="E15">B76optionValue(E$4,StrikePrice,rate,$B15,TimeofExpiration,Style)</f>
        <v>10.793812583108382</v>
      </c>
      <c r="G15">
        <v>0.15</v>
      </c>
      <c r="H15" cm="1">
        <f t="array" ref="H15">B76optionValue(StockPrice,StrikePrice,rate,G15,TimeofExpiration,Style)</f>
        <v>5462.5190195802616</v>
      </c>
      <c r="I15" cm="1">
        <f t="array" ref="I15">B76optionValue(D$4,StrikePrice,rate,$G15,TimeofExpiration,Style)</f>
        <v>2051.0511029594977</v>
      </c>
      <c r="J15" cm="1">
        <f t="array" ref="J15">B76optionValue(E$4,StrikePrice,rate,$G15,TimeofExpiration,Style)</f>
        <v>375.78438388351509</v>
      </c>
      <c r="L15">
        <v>0.04</v>
      </c>
      <c r="M15" cm="1">
        <f t="array" ref="M15">B76optionValue(C$4,StrikePrice,$L15,sigma,TimeofExpiration,Style)</f>
        <v>4806.0434912003384</v>
      </c>
      <c r="N15" cm="1">
        <f t="array" ref="N15">B76optionValue(D$4,StrikePrice,$L15,sigma,TimeofExpiration,Style)</f>
        <v>670.70431146173939</v>
      </c>
      <c r="O15" cm="1">
        <f t="array" ref="O15">B76optionValue(E$4,StrikePrice,$L15,sigma,TimeofExpiration,Style)</f>
        <v>0.44222687515421727</v>
      </c>
      <c r="Q15">
        <v>0.2</v>
      </c>
      <c r="R15" cm="1">
        <f t="array" ref="R15">B76optionValue(C$4,StrikePrice,$Q15,sigma,TimeofExpiration,Style)</f>
        <v>4095.4401105278548</v>
      </c>
      <c r="S15" cm="1">
        <f t="array" ref="S15">B76optionValue(D$4,StrikePrice,$Q15,sigma,TimeofExpiration,Style)</f>
        <v>571.53651324498048</v>
      </c>
      <c r="T15" cm="1">
        <f t="array" ref="T15">B76optionValue(E$4,StrikePrice,$Q15,sigma,TimeofExpiration,Style)</f>
        <v>0.3768408849766024</v>
      </c>
    </row>
    <row r="16" spans="2:20" x14ac:dyDescent="0.4">
      <c r="B16">
        <v>0.08</v>
      </c>
      <c r="C16" cm="1">
        <f t="array" ref="C16">B76optionValue(C$4,StrikePrice,rate,B16,TimeofExpiration,Style)</f>
        <v>4958.7847482296957</v>
      </c>
      <c r="D16" cm="1">
        <f t="array" ref="D16">B76optionValue(D$4,StrikePrice,rate,$B16,TimeofExpiration,Style)</f>
        <v>1094.6276346479444</v>
      </c>
      <c r="E16" cm="1">
        <f t="array" ref="E16">B76optionValue(E$4,StrikePrice,rate,$B16,TimeofExpiration,Style)</f>
        <v>26.170027634194184</v>
      </c>
      <c r="G16">
        <v>0.2</v>
      </c>
      <c r="H16" cm="1">
        <f t="array" ref="H16">B76optionValue(StockPrice,StrikePrice,rate,G16,TimeofExpiration,Style)</f>
        <v>6004.5680597690898</v>
      </c>
      <c r="I16" cm="1">
        <f t="array" ref="I16">B76optionValue(D$4,StrikePrice,rate,$G16,TimeofExpiration,Style)</f>
        <v>2732.7435281734788</v>
      </c>
      <c r="J16" cm="1">
        <f t="array" ref="J16">B76optionValue(E$4,StrikePrice,rate,$G16,TimeofExpiration,Style)</f>
        <v>801.42055282913532</v>
      </c>
      <c r="L16">
        <v>0.05</v>
      </c>
      <c r="M16" cm="1">
        <f t="array" ref="M16">B76optionValue(C$4,StrikePrice,$L16,sigma,TimeofExpiration,Style)</f>
        <v>4758.2225594541669</v>
      </c>
      <c r="N16" cm="1">
        <f t="array" ref="N16">B76optionValue(D$4,StrikePrice,$L16,sigma,TimeofExpiration,Style)</f>
        <v>664.03069205754537</v>
      </c>
      <c r="O16" cm="1">
        <f t="array" ref="O16">B76optionValue(E$4,StrikePrice,$L16,sigma,TimeofExpiration,Style)</f>
        <v>0.43782664422584688</v>
      </c>
      <c r="Q16">
        <v>0.3</v>
      </c>
      <c r="R16" cm="1">
        <f t="array" ref="R16">B76optionValue(C$4,StrikePrice,$Q16,sigma,TimeofExpiration,Style)</f>
        <v>3705.7074553309294</v>
      </c>
      <c r="S16" cm="1">
        <f t="array" ref="S16">B76optionValue(D$4,StrikePrice,$Q16,sigma,TimeofExpiration,Style)</f>
        <v>517.14762295786318</v>
      </c>
      <c r="T16" cm="1">
        <f t="array" ref="T16">B76optionValue(E$4,StrikePrice,$Q16,sigma,TimeofExpiration,Style)</f>
        <v>0.34097973337261495</v>
      </c>
    </row>
    <row r="17" spans="2:20" x14ac:dyDescent="0.4">
      <c r="B17">
        <v>0.09</v>
      </c>
      <c r="C17" cm="1">
        <f t="array" ref="C17">B76optionValue(C$4,StrikePrice,rate,B17,TimeofExpiration,Style)</f>
        <v>5001.3120862847636</v>
      </c>
      <c r="D17" cm="1">
        <f t="array" ref="D17">B76optionValue(D$4,StrikePrice,rate,$B17,TimeofExpiration,Style)</f>
        <v>1231.3688850053777</v>
      </c>
      <c r="E17" cm="1">
        <f t="array" ref="E17">B76optionValue(E$4,StrikePrice,rate,$B17,TimeofExpiration,Style)</f>
        <v>50.631667291192002</v>
      </c>
      <c r="G17">
        <v>0.25</v>
      </c>
      <c r="H17" cm="1">
        <f t="array" ref="H17">B76optionValue(StockPrice,StrikePrice,rate,G17,TimeofExpiration,Style)</f>
        <v>6612.9385029349423</v>
      </c>
      <c r="I17" cm="1">
        <f t="array" ref="I17">B76optionValue(D$4,StrikePrice,rate,$G17,TimeofExpiration,Style)</f>
        <v>3412.7339393776874</v>
      </c>
      <c r="J17" cm="1">
        <f t="array" ref="J17">B76optionValue(E$4,StrikePrice,rate,$G17,TimeofExpiration,Style)</f>
        <v>1298.0398451895799</v>
      </c>
      <c r="L17">
        <v>0.06</v>
      </c>
      <c r="M17" cm="1">
        <f t="array" ref="M17">B76optionValue(C$4,StrikePrice,$L17,sigma,TimeofExpiration,Style)</f>
        <v>4710.8774539291389</v>
      </c>
      <c r="N17" cm="1">
        <f t="array" ref="N17">B76optionValue(D$4,StrikePrice,$L17,sigma,TimeofExpiration,Style)</f>
        <v>657.42347627591778</v>
      </c>
      <c r="O17" cm="1">
        <f t="array" ref="O17">B76optionValue(E$4,StrikePrice,$L17,sigma,TimeofExpiration,Style)</f>
        <v>0.43347019632675587</v>
      </c>
      <c r="Q17">
        <v>0.4</v>
      </c>
      <c r="R17" cm="1">
        <f t="array" ref="R17">B76optionValue(C$4,StrikePrice,$Q17,sigma,TimeofExpiration,Style)</f>
        <v>3353.0627658782441</v>
      </c>
      <c r="S17" cm="1">
        <f t="array" ref="S17">B76optionValue(D$4,StrikePrice,$Q17,sigma,TimeofExpiration,Style)</f>
        <v>467.93451990062687</v>
      </c>
      <c r="T17" cm="1">
        <f t="array" ref="T17">B76optionValue(E$4,StrikePrice,$Q17,sigma,TimeofExpiration,Style)</f>
        <v>0.30853122154746682</v>
      </c>
    </row>
    <row r="18" spans="2:20" x14ac:dyDescent="0.4">
      <c r="B18">
        <v>0.1</v>
      </c>
      <c r="C18" cm="1">
        <f t="array" ref="C18">B76optionValue(C$4,StrikePrice,rate,B18,TimeofExpiration,Style)</f>
        <v>5055.6840605838679</v>
      </c>
      <c r="D18" cm="1">
        <f t="array" ref="D18">B76optionValue(D$4,StrikePrice,rate,$B18,TimeofExpiration,Style)</f>
        <v>1368.0793721065568</v>
      </c>
      <c r="E18" cm="1">
        <f t="array" ref="E18">B76optionValue(E$4,StrikePrice,rate,$B18,TimeofExpiration,Style)</f>
        <v>84.546936825776797</v>
      </c>
      <c r="G18">
        <v>0.3</v>
      </c>
      <c r="H18" cm="1">
        <f t="array" ref="H18">B76optionValue(StockPrice,StrikePrice,rate,G18,TimeofExpiration,Style)</f>
        <v>7256.4338103538039</v>
      </c>
      <c r="I18" cm="1">
        <f t="array" ref="I18">B76optionValue(D$4,StrikePrice,rate,$G18,TimeofExpiration,Style)</f>
        <v>4090.6028076845391</v>
      </c>
      <c r="J18" cm="1">
        <f t="array" ref="J18">B76optionValue(E$4,StrikePrice,rate,$G18,TimeofExpiration,Style)</f>
        <v>1833.7456232593838</v>
      </c>
      <c r="L18">
        <v>7.0000000000000007E-2</v>
      </c>
      <c r="M18" cm="1">
        <f t="array" ref="M18">B76optionValue(C$4,StrikePrice,$L18,sigma,TimeofExpiration,Style)</f>
        <v>4664.0034400752484</v>
      </c>
      <c r="N18" cm="1">
        <f t="array" ref="N18">B76optionValue(D$4,StrikePrice,$L18,sigma,TimeofExpiration,Style)</f>
        <v>650.88200338977254</v>
      </c>
      <c r="O18" cm="1">
        <f t="array" ref="O18">B76optionValue(E$4,StrikePrice,$L18,sigma,TimeofExpiration,Style)</f>
        <v>0.4291570958085239</v>
      </c>
      <c r="Q18">
        <v>0.5</v>
      </c>
      <c r="R18" cm="1">
        <f t="array" ref="R18">B76optionValue(C$4,StrikePrice,$Q18,sigma,TimeofExpiration,Style)</f>
        <v>3033.9766555897836</v>
      </c>
      <c r="S18" cm="1">
        <f t="array" ref="S18">B76optionValue(D$4,StrikePrice,$Q18,sigma,TimeofExpiration,Style)</f>
        <v>423.40466279677958</v>
      </c>
      <c r="T18" cm="1">
        <f t="array" ref="T18">B76optionValue(E$4,StrikePrice,$Q18,sigma,TimeofExpiration,Style)</f>
        <v>0.27917059388849047</v>
      </c>
    </row>
    <row r="19" spans="2:20" x14ac:dyDescent="0.4">
      <c r="B19">
        <v>0.11</v>
      </c>
      <c r="C19" cm="1">
        <f t="array" ref="C19">B76optionValue(C$4,StrikePrice,rate,B19,TimeofExpiration,Style)</f>
        <v>5120.7166219180344</v>
      </c>
      <c r="D19" cm="1">
        <f t="array" ref="D19">B76optionValue(D$4,StrikePrice,rate,$B19,TimeofExpiration,Style)</f>
        <v>1504.7556859289944</v>
      </c>
      <c r="E19" cm="1">
        <f t="array" ref="E19">B76optionValue(E$4,StrikePrice,rate,$B19,TimeofExpiration,Style)</f>
        <v>127.58946379734091</v>
      </c>
      <c r="G19">
        <v>0.35</v>
      </c>
      <c r="H19" cm="1">
        <f t="array" ref="H19">B76optionValue(StockPrice,StrikePrice,rate,G19,TimeofExpiration,Style)</f>
        <v>7919.6372107717625</v>
      </c>
      <c r="I19" cm="1">
        <f t="array" ref="I19">B76optionValue(D$4,StrikePrice,rate,$G19,TimeofExpiration,Style)</f>
        <v>4765.9345599464123</v>
      </c>
      <c r="J19" cm="1">
        <f t="array" ref="J19">B76optionValue(E$4,StrikePrice,rate,$G19,TimeofExpiration,Style)</f>
        <v>2392.1108499127545</v>
      </c>
      <c r="L19">
        <v>0.08</v>
      </c>
      <c r="M19" cm="1">
        <f t="array" ref="M19">B76optionValue(C$4,StrikePrice,$L19,sigma,TimeofExpiration,Style)</f>
        <v>4617.5958304520473</v>
      </c>
      <c r="N19" cm="1">
        <f t="array" ref="N19">B76optionValue(D$4,StrikePrice,$L19,sigma,TimeofExpiration,Style)</f>
        <v>644.40561924636972</v>
      </c>
      <c r="O19" cm="1">
        <f t="array" ref="O19">B76optionValue(E$4,StrikePrice,$L19,sigma,TimeofExpiration,Style)</f>
        <v>0.42488691135750484</v>
      </c>
      <c r="Q19">
        <v>0.6</v>
      </c>
      <c r="R19" cm="1">
        <f t="array" ref="R19">B76optionValue(C$4,StrikePrice,$Q19,sigma,TimeofExpiration,Style)</f>
        <v>2745.2556034252361</v>
      </c>
      <c r="S19" cm="1">
        <f t="array" ref="S19">B76optionValue(D$4,StrikePrice,$Q19,sigma,TimeofExpiration,Style)</f>
        <v>383.11238186942415</v>
      </c>
      <c r="T19" cm="1">
        <f t="array" ref="T19">B76optionValue(E$4,StrikePrice,$Q19,sigma,TimeofExpiration,Style)</f>
        <v>0.25260399936562722</v>
      </c>
    </row>
    <row r="20" spans="2:20" x14ac:dyDescent="0.4">
      <c r="B20">
        <v>0.12</v>
      </c>
      <c r="C20" cm="1">
        <f t="array" ref="C20">B76optionValue(C$4,StrikePrice,rate,B20,TimeofExpiration,Style)</f>
        <v>5195.1032280734998</v>
      </c>
      <c r="D20" cm="1">
        <f t="array" ref="D20">B76optionValue(D$4,StrikePrice,rate,$B20,TimeofExpiration,Style)</f>
        <v>1641.3944190110158</v>
      </c>
      <c r="E20" cm="1">
        <f t="array" ref="E20">B76optionValue(E$4,StrikePrice,rate,$B20,TimeofExpiration,Style)</f>
        <v>179.06931970790689</v>
      </c>
      <c r="G20">
        <v>0.4</v>
      </c>
      <c r="H20" cm="1">
        <f t="array" ref="H20">B76optionValue(StockPrice,StrikePrice,rate,G20,TimeofExpiration,Style)</f>
        <v>8594.1020744259331</v>
      </c>
      <c r="I20" cm="1">
        <f t="array" ref="I20">B76optionValue(D$4,StrikePrice,rate,$G20,TimeofExpiration,Style)</f>
        <v>5438.3183427221375</v>
      </c>
      <c r="J20" cm="1">
        <f t="array" ref="J20">B76optionValue(E$4,StrikePrice,rate,$G20,TimeofExpiration,Style)</f>
        <v>2963.9745661004413</v>
      </c>
      <c r="L20">
        <v>0.09</v>
      </c>
      <c r="M20" cm="1">
        <f t="array" ref="M20">B76optionValue(C$4,StrikePrice,$L20,sigma,TimeofExpiration,Style)</f>
        <v>4571.6499842599005</v>
      </c>
      <c r="N20" cm="1">
        <f t="array" ref="N20">B76optionValue(D$4,StrikePrice,$L20,sigma,TimeofExpiration,Style)</f>
        <v>637.99367620189798</v>
      </c>
      <c r="O20" cm="1">
        <f t="array" ref="O20">B76optionValue(E$4,StrikePrice,$L20,sigma,TimeofExpiration,Style)</f>
        <v>0.4206592159516952</v>
      </c>
      <c r="Q20">
        <v>0.7</v>
      </c>
      <c r="R20" cm="1">
        <f t="array" ref="R20">B76optionValue(C$4,StrikePrice,$Q20,sigma,TimeofExpiration,Style)</f>
        <v>2484.0099920520406</v>
      </c>
      <c r="S20" cm="1">
        <f t="array" ref="S20">B76optionValue(D$4,StrikePrice,$Q20,sigma,TimeofExpiration,Style)</f>
        <v>346.65441842833633</v>
      </c>
      <c r="T20" cm="1">
        <f t="array" ref="T20">B76optionValue(E$4,StrikePrice,$Q20,sigma,TimeofExpiration,Style)</f>
        <v>0.22856555057155126</v>
      </c>
    </row>
    <row r="21" spans="2:20" x14ac:dyDescent="0.4">
      <c r="B21">
        <v>0.13</v>
      </c>
      <c r="C21" cm="1">
        <f t="array" ref="C21">B76optionValue(C$4,StrikePrice,rate,B21,TimeofExpiration,Style)</f>
        <v>5277.5916375583065</v>
      </c>
      <c r="D21" cm="1">
        <f t="array" ref="D21">B76optionValue(D$4,StrikePrice,rate,$B21,TimeofExpiration,Style)</f>
        <v>1777.9921667066146</v>
      </c>
      <c r="E21" cm="1">
        <f t="array" ref="E21">B76optionValue(E$4,StrikePrice,rate,$B21,TimeofExpiration,Style)</f>
        <v>238.15358062066636</v>
      </c>
      <c r="G21">
        <v>0.45</v>
      </c>
      <c r="H21" cm="1">
        <f t="array" ref="H21">B76optionValue(StockPrice,StrikePrice,rate,G21,TimeofExpiration,Style)</f>
        <v>9274.76432559979</v>
      </c>
      <c r="I21" cm="1">
        <f t="array" ref="I21">B76optionValue(D$4,StrikePrice,rate,$G21,TimeofExpiration,Style)</f>
        <v>6107.348771613717</v>
      </c>
      <c r="J21" cm="1">
        <f t="array" ref="J21">B76optionValue(E$4,StrikePrice,rate,$G21,TimeofExpiration,Style)</f>
        <v>3543.8136690422316</v>
      </c>
      <c r="L21">
        <v>0.1</v>
      </c>
      <c r="M21" cm="1">
        <f t="array" ref="M21">B76optionValue(C$4,StrikePrice,$L21,sigma,TimeofExpiration,Style)</f>
        <v>4526.1613068759016</v>
      </c>
      <c r="N21" cm="1">
        <f t="array" ref="N21">B76optionValue(D$4,StrikePrice,$L21,sigma,TimeofExpiration,Style)</f>
        <v>631.64553305670961</v>
      </c>
      <c r="O21" cm="1">
        <f t="array" ref="O21">B76optionValue(E$4,StrikePrice,$L21,sigma,TimeofExpiration,Style)</f>
        <v>0.41647358681803121</v>
      </c>
      <c r="Q21">
        <v>0.8</v>
      </c>
      <c r="R21" cm="1">
        <f t="array" ref="R21">B76optionValue(C$4,StrikePrice,$Q21,sigma,TimeofExpiration,Style)</f>
        <v>2247.6251875838925</v>
      </c>
      <c r="S21" cm="1">
        <f t="array" ref="S21">B76optionValue(D$4,StrikePrice,$Q21,sigma,TimeofExpiration,Style)</f>
        <v>313.66588892145296</v>
      </c>
      <c r="T21" cm="1">
        <f t="array" ref="T21">B76optionValue(E$4,StrikePrice,$Q21,sigma,TimeofExpiration,Style)</f>
        <v>0.20681466263112996</v>
      </c>
    </row>
    <row r="22" spans="2:20" x14ac:dyDescent="0.4">
      <c r="B22">
        <v>0.14000000000000001</v>
      </c>
      <c r="C22" cm="1">
        <f t="array" ref="C22">B76optionValue(C$4,StrikePrice,rate,B22,TimeofExpiration,Style)</f>
        <v>5367.0565203670694</v>
      </c>
      <c r="D22" cm="1">
        <f t="array" ref="D22">B76optionValue(D$4,StrikePrice,rate,$B22,TimeofExpiration,Style)</f>
        <v>1914.5455274399606</v>
      </c>
      <c r="E22" cm="1">
        <f t="array" ref="E22">B76optionValue(E$4,StrikePrice,rate,$B22,TimeofExpiration,Style)</f>
        <v>303.99264099432054</v>
      </c>
      <c r="G22">
        <v>0.5</v>
      </c>
      <c r="H22" cm="1">
        <f t="array" ref="H22">B76optionValue(StockPrice,StrikePrice,rate,G22,TimeofExpiration,Style)</f>
        <v>9958.3456859953294</v>
      </c>
      <c r="I22" cm="1">
        <f t="array" ref="I22">B76optionValue(D$4,StrikePrice,rate,$G22,TimeofExpiration,Style)</f>
        <v>6772.6266636970413</v>
      </c>
      <c r="J22" cm="1">
        <f t="array" ref="J22">B76optionValue(E$4,StrikePrice,rate,$G22,TimeofExpiration,Style)</f>
        <v>4128.060619998414</v>
      </c>
      <c r="L22">
        <v>0.11</v>
      </c>
      <c r="M22" cm="1">
        <f t="array" ref="M22">B76optionValue(C$4,StrikePrice,$L22,sigma,TimeofExpiration,Style)</f>
        <v>4481.125249394403</v>
      </c>
      <c r="N22" cm="1">
        <f t="array" ref="N22">B76optionValue(D$4,StrikePrice,$L22,sigma,TimeofExpiration,Style)</f>
        <v>625.36055499120005</v>
      </c>
      <c r="O22" cm="1">
        <f t="array" ref="O22">B76optionValue(E$4,StrikePrice,$L22,sigma,TimeofExpiration,Style)</f>
        <v>0.41232960539011149</v>
      </c>
      <c r="Q22">
        <v>0.9</v>
      </c>
      <c r="R22" cm="1">
        <f t="array" ref="R22">B76optionValue(C$4,StrikePrice,$Q22,sigma,TimeofExpiration,Style)</f>
        <v>2033.7353714459987</v>
      </c>
      <c r="S22" cm="1">
        <f t="array" ref="S22">B76optionValue(D$4,StrikePrice,$Q22,sigma,TimeofExpiration,Style)</f>
        <v>283.81663305764158</v>
      </c>
      <c r="T22" cm="1">
        <f t="array" ref="T22">B76optionValue(E$4,StrikePrice,$Q22,sigma,TimeofExpiration,Style)</f>
        <v>0.1871336453471297</v>
      </c>
    </row>
    <row r="23" spans="2:20" x14ac:dyDescent="0.4">
      <c r="B23">
        <v>0.15</v>
      </c>
      <c r="C23" cm="1">
        <f t="array" ref="C23">B76optionValue(C$4,StrikePrice,rate,B23,TimeofExpiration,Style)</f>
        <v>5462.5190195802616</v>
      </c>
      <c r="D23" cm="1">
        <f t="array" ref="D23">B76optionValue(D$4,StrikePrice,rate,$B23,TimeofExpiration,Style)</f>
        <v>2051.0511029594977</v>
      </c>
      <c r="E23" cm="1">
        <f t="array" ref="E23">B76optionValue(E$4,StrikePrice,rate,$B23,TimeofExpiration,Style)</f>
        <v>375.78438388351509</v>
      </c>
      <c r="G23">
        <v>0.55000000000000004</v>
      </c>
      <c r="H23" cm="1">
        <f t="array" ref="H23">B76optionValue(StockPrice,StrikePrice,rate,G23,TimeofExpiration,Style)</f>
        <v>10642.579533218828</v>
      </c>
      <c r="I23" cm="1">
        <f t="array" ref="I23">B76optionValue(D$4,StrikePrice,rate,$G23,TimeofExpiration,Style)</f>
        <v>7433.7597508436347</v>
      </c>
      <c r="J23" cm="1">
        <f t="array" ref="J23">B76optionValue(E$4,StrikePrice,rate,$G23,TimeofExpiration,Style)</f>
        <v>4714.2680643867561</v>
      </c>
      <c r="L23">
        <v>0.12</v>
      </c>
      <c r="M23" cm="1">
        <f t="array" ref="M23">B76optionValue(C$4,StrikePrice,$L23,sigma,TimeofExpiration,Style)</f>
        <v>4436.5373081721282</v>
      </c>
      <c r="N23" cm="1">
        <f t="array" ref="N23">B76optionValue(D$4,StrikePrice,$L23,sigma,TimeofExpiration,Style)</f>
        <v>619.13811350232504</v>
      </c>
      <c r="O23" cm="1">
        <f t="array" ref="O23">B76optionValue(E$4,StrikePrice,$L23,sigma,TimeofExpiration,Style)</f>
        <v>0.40822685726633995</v>
      </c>
      <c r="Q23">
        <v>1</v>
      </c>
      <c r="R23" cm="1">
        <f t="array" ref="R23">B76optionValue(C$4,StrikePrice,$Q23,sigma,TimeofExpiration,Style)</f>
        <v>1840.1998624676007</v>
      </c>
      <c r="S23" cm="1">
        <f t="array" ref="S23">B76optionValue(D$4,StrikePrice,$Q23,sigma,TimeofExpiration,Style)</f>
        <v>256.80790945153581</v>
      </c>
      <c r="T23" cm="1">
        <f t="array" ref="T23">B76optionValue(E$4,StrikePrice,$Q23,sigma,TimeofExpiration,Style)</f>
        <v>0.16932552448355381</v>
      </c>
    </row>
    <row r="24" spans="2:20" x14ac:dyDescent="0.4">
      <c r="B24">
        <v>0.16</v>
      </c>
      <c r="C24" cm="1">
        <f t="array" ref="C24">B76optionValue(C$4,StrikePrice,rate,B24,TimeofExpiration,Style)</f>
        <v>5563.1418212247563</v>
      </c>
      <c r="D24" cm="1">
        <f t="array" ref="D24">B76optionValue(D$4,StrikePrice,rate,$B24,TimeofExpiration,Style)</f>
        <v>2187.505498591669</v>
      </c>
      <c r="E24" cm="1">
        <f t="array" ref="E24">B76optionValue(E$4,StrikePrice,rate,$B24,TimeofExpiration,Style)</f>
        <v>452.80187132054067</v>
      </c>
      <c r="G24">
        <v>0.6</v>
      </c>
      <c r="H24" cm="1">
        <f t="array" ref="H24">B76optionValue(StockPrice,StrikePrice,rate,G24,TimeofExpiration,Style)</f>
        <v>11325.807251678902</v>
      </c>
      <c r="I24" cm="1">
        <f t="array" ref="I24">B76optionValue(D$4,StrikePrice,rate,$G24,TimeofExpiration,Style)</f>
        <v>8090.3633718126875</v>
      </c>
      <c r="J24" cm="1">
        <f t="array" ref="J24">B76optionValue(E$4,StrikePrice,rate,$G24,TimeofExpiration,Style)</f>
        <v>5300.6664404499861</v>
      </c>
      <c r="L24">
        <v>0.13</v>
      </c>
      <c r="M24" cm="1">
        <f t="array" ref="M24">B76optionValue(C$4,StrikePrice,$L24,sigma,TimeofExpiration,Style)</f>
        <v>4392.3930243777968</v>
      </c>
      <c r="N24" cm="1">
        <f t="array" ref="N24">B76optionValue(D$4,StrikePrice,$L24,sigma,TimeofExpiration,Style)</f>
        <v>612.97758634075046</v>
      </c>
      <c r="O24" cm="1">
        <f t="array" ref="O24">B76optionValue(E$4,StrikePrice,$L24,sigma,TimeofExpiration,Style)</f>
        <v>0.4041649321684852</v>
      </c>
      <c r="Q24">
        <v>1.1000000000000001</v>
      </c>
      <c r="R24" cm="1">
        <f t="array" ref="R24">B76optionValue(C$4,StrikePrice,$Q24,sigma,TimeofExpiration,Style)</f>
        <v>1665.0816922253116</v>
      </c>
      <c r="S24" cm="1">
        <f t="array" ref="S24">B76optionValue(D$4,StrikePrice,$Q24,sigma,TimeofExpiration,Style)</f>
        <v>232.36940571934014</v>
      </c>
      <c r="T24" cm="1">
        <f t="array" ref="T24">B76optionValue(E$4,StrikePrice,$Q24,sigma,TimeofExpiration,Style)</f>
        <v>0.15321207038128348</v>
      </c>
    </row>
    <row r="25" spans="2:20" x14ac:dyDescent="0.4">
      <c r="B25">
        <v>0.17</v>
      </c>
      <c r="C25" cm="1">
        <f t="array" ref="C25">B76optionValue(C$4,StrikePrice,rate,B25,TimeofExpiration,Style)</f>
        <v>5668.2144295506323</v>
      </c>
      <c r="D25" cm="1">
        <f t="array" ref="D25">B76optionValue(D$4,StrikePrice,rate,$B25,TimeofExpiration,Style)</f>
        <v>2323.9053234941503</v>
      </c>
      <c r="E25" cm="1">
        <f t="array" ref="E25">B76optionValue(E$4,StrikePrice,rate,$B25,TimeofExpiration,Style)</f>
        <v>534.40117771629298</v>
      </c>
      <c r="G25">
        <v>0.65</v>
      </c>
      <c r="H25" cm="1">
        <f t="array" ref="H25">B76optionValue(StockPrice,StrikePrice,rate,G25,TimeofExpiration,Style)</f>
        <v>12006.75460695714</v>
      </c>
      <c r="I25" cm="1">
        <f t="array" ref="I25">B76optionValue(D$4,StrikePrice,rate,$G25,TimeofExpiration,Style)</f>
        <v>8742.061141084152</v>
      </c>
      <c r="J25" cm="1">
        <f t="array" ref="J25">B76optionValue(E$4,StrikePrice,rate,$G25,TimeofExpiration,Style)</f>
        <v>5885.9162214311846</v>
      </c>
      <c r="L25">
        <v>0.14000000000000001</v>
      </c>
      <c r="M25" cm="1">
        <f t="array" ref="M25">B76optionValue(C$4,StrikePrice,$L25,sigma,TimeofExpiration,Style)</f>
        <v>4348.6879835462441</v>
      </c>
      <c r="N25" cm="1">
        <f t="array" ref="N25">B76optionValue(D$4,StrikePrice,$L25,sigma,TimeofExpiration,Style)</f>
        <v>606.87835744862639</v>
      </c>
      <c r="O25" cm="1">
        <f t="array" ref="O25">B76optionValue(E$4,StrikePrice,$L25,sigma,TimeofExpiration,Style)</f>
        <v>0.40014342390065261</v>
      </c>
      <c r="Q25">
        <v>1.2</v>
      </c>
      <c r="R25" cm="1">
        <f t="array" ref="R25">B76optionValue(C$4,StrikePrice,$Q25,sigma,TimeofExpiration,Style)</f>
        <v>1506.6282192120975</v>
      </c>
      <c r="S25" cm="1">
        <f t="array" ref="S25">B76optionValue(D$4,StrikePrice,$Q25,sigma,TimeofExpiration,Style)</f>
        <v>210.2565331016381</v>
      </c>
      <c r="T25" cm="1">
        <f t="array" ref="T25">B76optionValue(E$4,StrikePrice,$Q25,sigma,TimeofExpiration,Style)</f>
        <v>0.13863201417574428</v>
      </c>
    </row>
    <row r="26" spans="2:20" x14ac:dyDescent="0.4">
      <c r="B26">
        <v>0.18</v>
      </c>
      <c r="C26" cm="1">
        <f t="array" ref="C26">B76optionValue(C$4,StrikePrice,rate,B26,TimeofExpiration,Style)</f>
        <v>5777.1357684398536</v>
      </c>
      <c r="D26" cm="1">
        <f t="array" ref="D26">B76optionValue(D$4,StrikePrice,rate,$B26,TimeofExpiration,Style)</f>
        <v>2460.2471909086298</v>
      </c>
      <c r="E26" cm="1">
        <f t="array" ref="E26">B76optionValue(E$4,StrikePrice,rate,$B26,TimeofExpiration,Style)</f>
        <v>620.01917937883479</v>
      </c>
      <c r="G26">
        <v>0.7</v>
      </c>
      <c r="H26" cm="1">
        <f t="array" ref="H26">B76optionValue(StockPrice,StrikePrice,rate,G26,TimeofExpiration,Style)</f>
        <v>12684.401427401657</v>
      </c>
      <c r="I26" cm="1">
        <f t="array" ref="I26">B76optionValue(D$4,StrikePrice,rate,$G26,TimeofExpiration,Style)</f>
        <v>9388.4855925028878</v>
      </c>
      <c r="J26" cm="1">
        <f t="array" ref="J26">B76optionValue(E$4,StrikePrice,rate,$G26,TimeofExpiration,Style)</f>
        <v>6468.9623670905066</v>
      </c>
      <c r="L26">
        <v>0.15</v>
      </c>
      <c r="M26" cm="1">
        <f t="array" ref="M26">B76optionValue(C$4,StrikePrice,$L26,sigma,TimeofExpiration,Style)</f>
        <v>4305.4178151369633</v>
      </c>
      <c r="N26" cm="1">
        <f t="array" ref="N26">B76optionValue(D$4,StrikePrice,$L26,sigma,TimeofExpiration,Style)</f>
        <v>600.83981689798065</v>
      </c>
      <c r="O26" cm="1">
        <f t="array" ref="O26">B76optionValue(E$4,StrikePrice,$L26,sigma,TimeofExpiration,Style)</f>
        <v>0.39616193030866398</v>
      </c>
      <c r="Q26">
        <v>1.3</v>
      </c>
      <c r="R26" cm="1">
        <f t="array" ref="R26">B76optionValue(C$4,StrikePrice,$Q26,sigma,TimeofExpiration,Style)</f>
        <v>1363.2535878119897</v>
      </c>
      <c r="S26" cm="1">
        <f t="array" ref="S26">B76optionValue(D$4,StrikePrice,$Q26,sigma,TimeofExpiration,Style)</f>
        <v>190.24797853687846</v>
      </c>
      <c r="T26" cm="1">
        <f t="array" ref="T26">B76optionValue(E$4,StrikePrice,$Q26,sigma,TimeofExpiration,Style)</f>
        <v>0.12543943376390498</v>
      </c>
    </row>
    <row r="27" spans="2:20" x14ac:dyDescent="0.4">
      <c r="B27">
        <v>0.19</v>
      </c>
      <c r="C27" cm="1">
        <f t="array" ref="C27">B76optionValue(C$4,StrikePrice,rate,B27,TimeofExpiration,Style)</f>
        <v>5889.3973186689009</v>
      </c>
      <c r="D27" cm="1">
        <f t="array" ref="D27">B76optionValue(D$4,StrikePrice,rate,$B27,TimeofExpiration,Style)</f>
        <v>2596.5277184130837</v>
      </c>
      <c r="E27" cm="1">
        <f t="array" ref="E27">B76optionValue(E$4,StrikePrice,rate,$B27,TimeofExpiration,Style)</f>
        <v>709.166786361189</v>
      </c>
      <c r="G27">
        <v>0.75</v>
      </c>
      <c r="H27" cm="1">
        <f t="array" ref="H27">B76optionValue(StockPrice,StrikePrice,rate,G27,TimeofExpiration,Style)</f>
        <v>13357.902366691922</v>
      </c>
      <c r="I27" cm="1">
        <f t="array" ref="I27">B76optionValue(D$4,StrikePrice,rate,$G27,TimeofExpiration,Style)</f>
        <v>10029.278795911332</v>
      </c>
      <c r="J27" cm="1">
        <f t="array" ref="J27">B76optionValue(E$4,StrikePrice,rate,$G27,TimeofExpiration,Style)</f>
        <v>7048.9452615316768</v>
      </c>
      <c r="L27">
        <v>0.16</v>
      </c>
      <c r="M27" cm="1">
        <f t="array" ref="M27">B76optionValue(C$4,StrikePrice,$L27,sigma,TimeofExpiration,Style)</f>
        <v>4262.5781920970567</v>
      </c>
      <c r="N27" cm="1">
        <f t="array" ref="N27">B76optionValue(D$4,StrikePrice,$L27,sigma,TimeofExpiration,Style)</f>
        <v>594.86136082972632</v>
      </c>
      <c r="O27" cm="1">
        <f t="array" ref="O27">B76optionValue(E$4,StrikePrice,$L27,sigma,TimeofExpiration,Style)</f>
        <v>0.39222005323984227</v>
      </c>
      <c r="Q27">
        <v>1.4</v>
      </c>
      <c r="R27" cm="1">
        <f t="array" ref="R27">B76optionValue(C$4,StrikePrice,$Q27,sigma,TimeofExpiration,Style)</f>
        <v>1233.5228565240593</v>
      </c>
      <c r="S27" cm="1">
        <f t="array" ref="S27">B76optionValue(D$4,StrikePrice,$Q27,sigma,TimeofExpiration,Style)</f>
        <v>172.14348968586978</v>
      </c>
      <c r="T27" cm="1">
        <f t="array" ref="T27">B76optionValue(E$4,StrikePrice,$Q27,sigma,TimeofExpiration,Style)</f>
        <v>0.11350229336682456</v>
      </c>
    </row>
    <row r="28" spans="2:20" x14ac:dyDescent="0.4">
      <c r="B28">
        <v>0.2</v>
      </c>
      <c r="C28" cm="1">
        <f t="array" ref="C28">B76optionValue(C$4,StrikePrice,rate,B28,TimeofExpiration,Style)</f>
        <v>6004.5680597690898</v>
      </c>
      <c r="D28" cm="1">
        <f t="array" ref="D28">B76optionValue(D$4,StrikePrice,rate,$B28,TimeofExpiration,Style)</f>
        <v>2732.7435281734788</v>
      </c>
      <c r="E28" cm="1">
        <f t="array" ref="E28">B76optionValue(E$4,StrikePrice,rate,$B28,TimeofExpiration,Style)</f>
        <v>801.42055282913532</v>
      </c>
      <c r="G28">
        <v>0.8</v>
      </c>
      <c r="H28" cm="1">
        <f t="array" ref="H28">B76optionValue(StockPrice,StrikePrice,rate,G28,TimeofExpiration,Style)</f>
        <v>14026.536964108975</v>
      </c>
      <c r="I28" cm="1">
        <f t="array" ref="I28">B76optionValue(D$4,StrikePrice,rate,$G28,TimeofExpiration,Style)</f>
        <v>10664.092945062561</v>
      </c>
      <c r="J28" cm="1">
        <f t="array" ref="J28">B76optionValue(E$4,StrikePrice,rate,$G28,TimeofExpiration,Style)</f>
        <v>7625.1442807504573</v>
      </c>
      <c r="L28">
        <v>0.17</v>
      </c>
      <c r="M28" cm="1">
        <f t="array" ref="M28">B76optionValue(C$4,StrikePrice,$L28,sigma,TimeofExpiration,Style)</f>
        <v>4220.1648304285209</v>
      </c>
      <c r="N28" cm="1">
        <f t="array" ref="N28">B76optionValue(D$4,StrikePrice,$L28,sigma,TimeofExpiration,Style)</f>
        <v>588.94239139327442</v>
      </c>
      <c r="O28" cm="1">
        <f t="array" ref="O28">B76optionValue(E$4,StrikePrice,$L28,sigma,TimeofExpiration,Style)</f>
        <v>0.38831739850319569</v>
      </c>
      <c r="Q28">
        <v>1.5</v>
      </c>
      <c r="R28" cm="1">
        <f t="array" ref="R28">B76optionValue(C$4,StrikePrice,$Q28,sigma,TimeofExpiration,Style)</f>
        <v>1116.137636585571</v>
      </c>
      <c r="S28" cm="1">
        <f t="array" ref="S28">B76optionValue(D$4,StrikePrice,$Q28,sigma,TimeofExpiration,Style)</f>
        <v>155.76187073906223</v>
      </c>
      <c r="T28" cm="1">
        <f t="array" ref="T28">B76optionValue(E$4,StrikePrice,$Q28,sigma,TimeofExpiration,Style)</f>
        <v>0.10270112207119755</v>
      </c>
    </row>
    <row r="30" spans="2:20" x14ac:dyDescent="0.4">
      <c r="B30" t="s">
        <v>15</v>
      </c>
      <c r="C30" t="s">
        <v>4</v>
      </c>
      <c r="D30" t="s">
        <v>16</v>
      </c>
      <c r="E30" t="s">
        <v>24</v>
      </c>
      <c r="F30" t="s">
        <v>26</v>
      </c>
      <c r="G30" t="s">
        <v>25</v>
      </c>
      <c r="J30" t="s">
        <v>15</v>
      </c>
      <c r="K30" t="s">
        <v>4</v>
      </c>
      <c r="L30" t="s">
        <v>16</v>
      </c>
      <c r="M30" t="s">
        <v>24</v>
      </c>
      <c r="N30" t="s">
        <v>26</v>
      </c>
      <c r="O30" t="s">
        <v>25</v>
      </c>
    </row>
    <row r="31" spans="2:20" x14ac:dyDescent="0.4">
      <c r="B31">
        <v>1</v>
      </c>
      <c r="C31">
        <v>1</v>
      </c>
      <c r="D31">
        <f>+$B$31-C31</f>
        <v>0</v>
      </c>
      <c r="E31" cm="1">
        <f t="array" ref="E31">B76optionValue(C$4,StrikePrice,rate,sigma,$C31,Style)</f>
        <v>4903.1320099494533</v>
      </c>
      <c r="F31" cm="1">
        <f t="array" ref="F31">B76optionValue(D$4,StrikePrice,rate,sigma,$C31,Style)</f>
        <v>684.25343731498913</v>
      </c>
      <c r="G31" cm="1">
        <f t="array" ref="G31">B76optionValue(E$4,StrikePrice,rate,sigma,$C31,Style)</f>
        <v>0.45116045062817728</v>
      </c>
      <c r="J31">
        <v>10</v>
      </c>
      <c r="K31">
        <f>J31</f>
        <v>10</v>
      </c>
      <c r="L31">
        <f>+$J$31-K31</f>
        <v>0</v>
      </c>
      <c r="M31" cm="1">
        <f t="array" ref="M31">B76optionValue(C$4,StrikePrice,rate,sigma,$K31,Style)</f>
        <v>4630.5733017671964</v>
      </c>
      <c r="N31" cm="1">
        <f t="array" ref="N31">B76optionValue(D$4,StrikePrice,rate,sigma,$K31,Style)</f>
        <v>1805.664320195486</v>
      </c>
      <c r="O31" cm="1">
        <f t="array" ref="O31">B76optionValue(E$4,StrikePrice,rate,sigma,$K31,Style)</f>
        <v>365.77025159525931</v>
      </c>
    </row>
    <row r="32" spans="2:20" x14ac:dyDescent="0.4">
      <c r="C32">
        <f>C31-1/12</f>
        <v>0.91666666666666663</v>
      </c>
      <c r="D32">
        <f t="shared" ref="D32:D43" si="0">+$B$31-C32</f>
        <v>8.333333333333337E-2</v>
      </c>
      <c r="E32" cm="1">
        <f t="array" ref="E32">B76optionValue(C$4,StrikePrice,rate,sigma,$C32,Style)</f>
        <v>4910.5551557707531</v>
      </c>
      <c r="F32" cm="1">
        <f t="array" ref="F32">B76optionValue(D$4,StrikePrice,rate,sigma,$C32,Style)</f>
        <v>656.22126706060055</v>
      </c>
      <c r="G32" cm="1">
        <f t="array" ref="G32">B76optionValue(E$4,StrikePrice,rate,sigma,$C32,Style)</f>
        <v>0.26175061463963722</v>
      </c>
      <c r="K32">
        <f>K31-1</f>
        <v>9</v>
      </c>
      <c r="L32">
        <f t="shared" ref="L32:L41" si="1">+$J$31-K32</f>
        <v>1</v>
      </c>
      <c r="M32" cm="1">
        <f t="array" ref="M32">B76optionValue(C$4,StrikePrice,rate,sigma,$K32,Style)</f>
        <v>4654.8516546451183</v>
      </c>
      <c r="N32" cm="1">
        <f t="array" ref="N32">B76optionValue(D$4,StrikePrice,rate,sigma,$K32,Style)</f>
        <v>1747.7904582392332</v>
      </c>
      <c r="O32" cm="1">
        <f t="array" ref="O32">B76optionValue(E$4,StrikePrice,rate,sigma,$K32,Style)</f>
        <v>320.22232871683258</v>
      </c>
    </row>
    <row r="33" spans="2:15" x14ac:dyDescent="0.4">
      <c r="C33">
        <f>+C32-1/12</f>
        <v>0.83333333333333326</v>
      </c>
      <c r="D33">
        <f t="shared" si="0"/>
        <v>0.16666666666666674</v>
      </c>
      <c r="E33" cm="1">
        <f t="array" ref="E33">B76optionValue(C$4,StrikePrice,rate,sigma,$C33,Style)</f>
        <v>4918.1900598867724</v>
      </c>
      <c r="F33" cm="1">
        <f t="array" ref="F33">B76optionValue(D$4,StrikePrice,rate,sigma,$C33,Style)</f>
        <v>626.73154190100092</v>
      </c>
      <c r="G33" cm="1">
        <f t="array" ref="G33">B76optionValue(E$4,StrikePrice,rate,sigma,$C33,Style)</f>
        <v>0.13763485419839161</v>
      </c>
      <c r="K33">
        <f t="shared" ref="K33:K41" si="2">K32-1</f>
        <v>8</v>
      </c>
      <c r="L33">
        <f t="shared" si="1"/>
        <v>2</v>
      </c>
      <c r="M33" cm="1">
        <f t="array" ref="M33">B76optionValue(C$4,StrikePrice,rate,sigma,$K33,Style)</f>
        <v>4677.3910682124351</v>
      </c>
      <c r="N33" cm="1">
        <f t="array" ref="N33">B76optionValue(D$4,StrikePrice,rate,sigma,$K33,Style)</f>
        <v>1681.2960763014144</v>
      </c>
      <c r="O33" cm="1">
        <f t="array" ref="O33">B76optionValue(E$4,StrikePrice,rate,sigma,$K33,Style)</f>
        <v>272.84950915181781</v>
      </c>
    </row>
    <row r="34" spans="2:15" x14ac:dyDescent="0.4">
      <c r="C34">
        <f t="shared" ref="C34:C42" si="3">+C33-1/12</f>
        <v>0.74999999999999989</v>
      </c>
      <c r="D34">
        <f t="shared" si="0"/>
        <v>0.25000000000000011</v>
      </c>
      <c r="E34" cm="1">
        <f t="array" ref="E34">B76optionValue(C$4,StrikePrice,rate,sigma,$C34,Style)</f>
        <v>4926.0119067886717</v>
      </c>
      <c r="F34" cm="1">
        <f t="array" ref="F34">B76optionValue(D$4,StrikePrice,rate,sigma,$C34,Style)</f>
        <v>595.56669147639411</v>
      </c>
      <c r="G34" cm="1">
        <f t="array" ref="G34">B76optionValue(E$4,StrikePrice,rate,sigma,$C34,Style)</f>
        <v>6.356528043528098E-2</v>
      </c>
      <c r="K34">
        <f t="shared" si="2"/>
        <v>7</v>
      </c>
      <c r="L34">
        <f t="shared" si="1"/>
        <v>3</v>
      </c>
      <c r="M34" cm="1">
        <f t="array" ref="M34">B76optionValue(C$4,StrikePrice,rate,sigma,$K34,Style)</f>
        <v>4698.4429409365775</v>
      </c>
      <c r="N34" cm="1">
        <f t="array" ref="N34">B76optionValue(D$4,StrikePrice,rate,sigma,$K34,Style)</f>
        <v>1604.6463269123021</v>
      </c>
      <c r="O34" cm="1">
        <f t="array" ref="O34">B76optionValue(E$4,StrikePrice,rate,sigma,$K34,Style)</f>
        <v>224.07943750217564</v>
      </c>
    </row>
    <row r="35" spans="2:15" x14ac:dyDescent="0.4">
      <c r="C35">
        <f t="shared" si="3"/>
        <v>0.66666666666666652</v>
      </c>
      <c r="D35">
        <f t="shared" si="0"/>
        <v>0.33333333333333348</v>
      </c>
      <c r="E35" cm="1">
        <f t="array" ref="E35">B76optionValue(C$4,StrikePrice,rate,sigma,$C35,Style)</f>
        <v>4933.9899915454826</v>
      </c>
      <c r="F35" cm="1">
        <f t="array" ref="F35">B76optionValue(D$4,StrikePrice,rate,sigma,$C35,Style)</f>
        <v>562.44716670529522</v>
      </c>
      <c r="G35" cm="1">
        <f t="array" ref="G35">B76optionValue(E$4,StrikePrice,rate,sigma,$C35,Style)</f>
        <v>2.4607790228428506E-2</v>
      </c>
      <c r="K35">
        <f t="shared" si="2"/>
        <v>6</v>
      </c>
      <c r="L35">
        <f t="shared" si="1"/>
        <v>4</v>
      </c>
      <c r="M35" cm="1">
        <f t="array" ref="M35">B76optionValue(C$4,StrikePrice,rate,sigma,$K35,Style)</f>
        <v>4718.5520712814914</v>
      </c>
      <c r="N35" cm="1">
        <f t="array" ref="N35">B76optionValue(D$4,StrikePrice,rate,sigma,$K35,Style)</f>
        <v>1515.7830127980073</v>
      </c>
      <c r="O35" cm="1">
        <f t="array" ref="O35">B76optionValue(E$4,StrikePrice,rate,sigma,$K35,Style)</f>
        <v>174.64708046991257</v>
      </c>
    </row>
    <row r="36" spans="2:15" x14ac:dyDescent="0.4">
      <c r="C36">
        <f t="shared" si="3"/>
        <v>0.58333333333333315</v>
      </c>
      <c r="D36">
        <f t="shared" si="0"/>
        <v>0.41666666666666685</v>
      </c>
      <c r="E36" cm="1">
        <f t="array" ref="E36">B76optionValue(C$4,StrikePrice,rate,sigma,$C36,Style)</f>
        <v>4942.0893037761598</v>
      </c>
      <c r="F36" cm="1">
        <f t="array" ref="F36">B76optionValue(D$4,StrikePrice,rate,sigma,$C36,Style)</f>
        <v>527.00332312835064</v>
      </c>
      <c r="G36" cm="1">
        <f t="array" ref="G36">B76optionValue(E$4,StrikePrice,rate,sigma,$C36,Style)</f>
        <v>7.4243118961782924E-3</v>
      </c>
      <c r="K36">
        <f t="shared" si="2"/>
        <v>5</v>
      </c>
      <c r="L36">
        <f t="shared" si="1"/>
        <v>5</v>
      </c>
      <c r="M36" cm="1">
        <f t="array" ref="M36">B76optionValue(C$4,StrikePrice,rate,sigma,$K36,Style)</f>
        <v>4738.7973663267721</v>
      </c>
      <c r="N36" cm="1">
        <f t="array" ref="N36">B76optionValue(D$4,StrikePrice,rate,sigma,$K36,Style)</f>
        <v>1411.8141182561201</v>
      </c>
      <c r="O36" cm="1">
        <f t="array" ref="O36">B76optionValue(E$4,StrikePrice,rate,sigma,$K36,Style)</f>
        <v>125.79584845147167</v>
      </c>
    </row>
    <row r="37" spans="2:15" x14ac:dyDescent="0.4">
      <c r="C37">
        <f t="shared" si="3"/>
        <v>0.49999999999999983</v>
      </c>
      <c r="D37">
        <f t="shared" si="0"/>
        <v>0.50000000000000022</v>
      </c>
      <c r="E37" cm="1">
        <f t="array" ref="E37">B76optionValue(C$4,StrikePrice,rate,sigma,$C37,Style)</f>
        <v>4950.2737626432736</v>
      </c>
      <c r="F37" cm="1">
        <f t="array" ref="F37">B76optionValue(D$4,StrikePrice,rate,sigma,$C37,Style)</f>
        <v>488.72837323481855</v>
      </c>
      <c r="G37" cm="1">
        <f t="array" ref="G37">B76optionValue(E$4,StrikePrice,rate,sigma,$C37,Style)</f>
        <v>1.547677563471896E-3</v>
      </c>
      <c r="K37">
        <f t="shared" si="2"/>
        <v>4</v>
      </c>
      <c r="L37">
        <f t="shared" si="1"/>
        <v>6</v>
      </c>
      <c r="M37" cm="1">
        <f t="array" ref="M37">B76optionValue(C$4,StrikePrice,rate,sigma,$K37,Style)</f>
        <v>4761.2639412650869</v>
      </c>
      <c r="N37" cm="1">
        <f t="array" ref="N37">B76optionValue(D$4,StrikePrice,rate,sigma,$K37,Style)</f>
        <v>1288.4086317781635</v>
      </c>
      <c r="O37" cm="1">
        <f t="array" ref="O37">B76optionValue(E$4,StrikePrice,rate,sigma,$K37,Style)</f>
        <v>79.623306525704635</v>
      </c>
    </row>
    <row r="38" spans="2:15" x14ac:dyDescent="0.4">
      <c r="C38">
        <f t="shared" si="3"/>
        <v>0.41666666666666652</v>
      </c>
      <c r="D38">
        <f t="shared" si="0"/>
        <v>0.58333333333333348</v>
      </c>
      <c r="E38" cm="1">
        <f t="array" ref="E38">B76optionValue(C$4,StrikePrice,rate,sigma,$C38,Style)</f>
        <v>4958.5110782429028</v>
      </c>
      <c r="F38" cm="1">
        <f t="array" ref="F38">B76optionValue(D$4,StrikePrice,rate,sigma,$C38,Style)</f>
        <v>446.89399984420635</v>
      </c>
      <c r="G38" cm="1">
        <f t="array" ref="G38">B76optionValue(E$4,StrikePrice,rate,sigma,$C38,Style)</f>
        <v>1.7980394696625324E-4</v>
      </c>
      <c r="K38">
        <f t="shared" si="2"/>
        <v>3</v>
      </c>
      <c r="L38">
        <f t="shared" si="1"/>
        <v>7</v>
      </c>
      <c r="M38" cm="1">
        <f t="array" ref="M38">B76optionValue(C$4,StrikePrice,rate,sigma,$K38,Style)</f>
        <v>4790.0014544894902</v>
      </c>
      <c r="N38" cm="1">
        <f t="array" ref="N38">B76optionValue(D$4,StrikePrice,rate,sigma,$K38,Style)</f>
        <v>1138.4536999718655</v>
      </c>
      <c r="O38" cm="1">
        <f t="array" ref="O38">B76optionValue(E$4,StrikePrice,rate,sigma,$K38,Style)</f>
        <v>39.642999349839563</v>
      </c>
    </row>
    <row r="39" spans="2:15" x14ac:dyDescent="0.4">
      <c r="C39">
        <f t="shared" si="3"/>
        <v>0.3333333333333332</v>
      </c>
      <c r="D39">
        <f t="shared" si="0"/>
        <v>0.66666666666666674</v>
      </c>
      <c r="E39" cm="1">
        <f t="array" ref="E39">B76optionValue(C$4,StrikePrice,rate,sigma,$C39,Style)</f>
        <v>4966.7779309733132</v>
      </c>
      <c r="F39" cm="1">
        <f t="array" ref="F39">B76optionValue(D$4,StrikePrice,rate,sigma,$C39,Style)</f>
        <v>400.38436609908672</v>
      </c>
      <c r="G39" cm="1">
        <f t="array" ref="G39">B76optionValue(E$4,StrikePrice,rate,sigma,$C39,Style)</f>
        <v>7.6013933791573453E-6</v>
      </c>
      <c r="K39">
        <f t="shared" si="2"/>
        <v>2</v>
      </c>
      <c r="L39">
        <f t="shared" si="1"/>
        <v>8</v>
      </c>
      <c r="M39" cm="1">
        <f t="array" ref="M39">B76optionValue(C$4,StrikePrice,rate,sigma,$K39,Style)</f>
        <v>4832.8901130828544</v>
      </c>
      <c r="N39" cm="1">
        <f t="array" ref="N39">B76optionValue(D$4,StrikePrice,rate,sigma,$K39,Style)</f>
        <v>948.42034702939782</v>
      </c>
      <c r="O39" cm="1">
        <f t="array" ref="O39">B76optionValue(E$4,StrikePrice,rate,sigma,$K39,Style)</f>
        <v>11.38012328500559</v>
      </c>
    </row>
    <row r="40" spans="2:15" x14ac:dyDescent="0.4">
      <c r="C40">
        <f t="shared" si="3"/>
        <v>0.24999999999999989</v>
      </c>
      <c r="D40">
        <f t="shared" si="0"/>
        <v>0.75000000000000011</v>
      </c>
      <c r="E40" cm="1">
        <f t="array" ref="E40">B76optionValue(C$4,StrikePrice,rate,sigma,$C40,Style)</f>
        <v>4975.0624035207857</v>
      </c>
      <c r="F40" cm="1">
        <f t="array" ref="F40">B76optionValue(D$4,StrikePrice,rate,sigma,$C40,Style)</f>
        <v>347.32443411169157</v>
      </c>
      <c r="G40" cm="1">
        <f t="array" ref="G40">B76optionValue(E$4,StrikePrice,rate,sigma,$C40,Style)</f>
        <v>4.3627299003367026E-8</v>
      </c>
      <c r="K40">
        <f t="shared" si="2"/>
        <v>1</v>
      </c>
      <c r="L40">
        <f t="shared" si="1"/>
        <v>9</v>
      </c>
      <c r="M40" cm="1">
        <f t="array" ref="M40">B76optionValue(C$4,StrikePrice,rate,sigma,$K40,Style)</f>
        <v>4903.1320099494533</v>
      </c>
      <c r="N40" cm="1">
        <f t="array" ref="N40">B76optionValue(D$4,StrikePrice,rate,sigma,$K40,Style)</f>
        <v>684.25343731498913</v>
      </c>
      <c r="O40" cm="1">
        <f t="array" ref="O40">B76optionValue(E$4,StrikePrice,rate,sigma,$K40,Style)</f>
        <v>0.45116045062817728</v>
      </c>
    </row>
    <row r="41" spans="2:15" x14ac:dyDescent="0.4">
      <c r="C41">
        <f t="shared" si="3"/>
        <v>0.16666666666666657</v>
      </c>
      <c r="D41">
        <f t="shared" si="0"/>
        <v>0.83333333333333348</v>
      </c>
      <c r="E41" cm="1">
        <f t="array" ref="E41">B76optionValue(C$4,StrikePrice,rate,sigma,$C41,Style)</f>
        <v>4983.3610802760031</v>
      </c>
      <c r="F41" cm="1">
        <f t="array" ref="F41">B76optionValue(D$4,StrikePrice,rate,sigma,$C41,Style)</f>
        <v>284.06472149196287</v>
      </c>
      <c r="G41" cm="1">
        <f t="array" ref="G41">B76optionValue(E$4,StrikePrice,rate,sigma,$C41,Style)</f>
        <v>1.8128932531286168E-12</v>
      </c>
      <c r="K41">
        <f t="shared" si="2"/>
        <v>0</v>
      </c>
      <c r="L41">
        <f t="shared" si="1"/>
        <v>10</v>
      </c>
    </row>
    <row r="42" spans="2:15" x14ac:dyDescent="0.4">
      <c r="C42">
        <f t="shared" si="3"/>
        <v>8.3333333333333245E-2</v>
      </c>
      <c r="D42">
        <f t="shared" si="0"/>
        <v>0.91666666666666674</v>
      </c>
      <c r="E42" cm="1">
        <f t="array" ref="E42">B76optionValue(C$4,StrikePrice,rate,sigma,$C42,Style)</f>
        <v>4991.6736072546937</v>
      </c>
      <c r="F42" cm="1">
        <f t="array" ref="F42">B76optionValue(D$4,StrikePrice,rate,sigma,$C42,Style)</f>
        <v>201.20088999029747</v>
      </c>
      <c r="G42" cm="1">
        <f t="array" ref="G42">B76optionValue(E$4,StrikePrice,rate,sigma,$C42,Style)</f>
        <v>2.7175808826952893E-25</v>
      </c>
    </row>
    <row r="43" spans="2:15" x14ac:dyDescent="0.4">
      <c r="C43">
        <f>+C42-1/12</f>
        <v>0</v>
      </c>
      <c r="D43">
        <f t="shared" si="0"/>
        <v>1</v>
      </c>
    </row>
    <row r="45" spans="2:15" x14ac:dyDescent="0.4">
      <c r="B45" t="s">
        <v>17</v>
      </c>
      <c r="C45" t="s">
        <v>18</v>
      </c>
      <c r="D45" t="s">
        <v>24</v>
      </c>
      <c r="E45" t="s">
        <v>26</v>
      </c>
      <c r="F45" t="s">
        <v>25</v>
      </c>
      <c r="I45" t="s">
        <v>19</v>
      </c>
      <c r="J45" t="s">
        <v>20</v>
      </c>
      <c r="K45" t="s">
        <v>27</v>
      </c>
    </row>
    <row r="46" spans="2:15" x14ac:dyDescent="0.4">
      <c r="C46">
        <v>30000</v>
      </c>
      <c r="D46" cm="1">
        <f t="array" ref="D46">B76optionValue(C$4,$C46,rate,sigma,TimeofExpiration,Style)</f>
        <v>9801.9867342876496</v>
      </c>
      <c r="E46" cm="1">
        <f t="array" ref="E46">B76optionValue(D$4,$C46,rate,sigma,TimeofExpiration,Style)</f>
        <v>4901.4445269844073</v>
      </c>
      <c r="F46" cm="1">
        <f t="array" ref="F46">B76optionValue(E$4,$C46,rate,sigma,TimeofExpiration,Style)</f>
        <v>586.50294626998709</v>
      </c>
      <c r="J46">
        <v>30000</v>
      </c>
      <c r="K46" cm="1">
        <f t="array" ref="K46">B76optionValue(J46,StrikePrice,rate,sigma,TimeofExpiration,Style)</f>
        <v>0.45116045062817728</v>
      </c>
    </row>
    <row r="47" spans="2:15" x14ac:dyDescent="0.4">
      <c r="C47">
        <v>31000</v>
      </c>
      <c r="D47" cm="1">
        <f t="array" ref="D47">B76optionValue(C$4,$C47,rate,sigma,TimeofExpiration,Style)</f>
        <v>8821.7881140998488</v>
      </c>
      <c r="E47" cm="1">
        <f t="array" ref="E47">B76optionValue(D$4,$C47,rate,sigma,TimeofExpiration,Style)</f>
        <v>3924.8383294525493</v>
      </c>
      <c r="F47" cm="1">
        <f t="array" ref="F47">B76optionValue(E$4,$C47,rate,sigma,TimeofExpiration,Style)</f>
        <v>229.95438823416532</v>
      </c>
      <c r="J47">
        <v>31000</v>
      </c>
      <c r="K47" cm="1">
        <f t="array" ref="K47">B76optionValue(J47,StrikePrice,rate,sigma,TimeofExpiration,Style)</f>
        <v>4.0436362255234206</v>
      </c>
    </row>
    <row r="48" spans="2:15" x14ac:dyDescent="0.4">
      <c r="C48">
        <v>32000</v>
      </c>
      <c r="D48" cm="1">
        <f t="array" ref="D48">B76optionValue(C$4,$C48,rate,sigma,TimeofExpiration,Style)</f>
        <v>7841.590844924267</v>
      </c>
      <c r="E48" cm="1">
        <f t="array" ref="E48">B76optionValue(D$4,$C48,rate,sigma,TimeofExpiration,Style)</f>
        <v>2964.4659878177895</v>
      </c>
      <c r="F48" cm="1">
        <f t="array" ref="F48">B76optionValue(E$4,$C48,rate,sigma,TimeofExpiration,Style)</f>
        <v>70.487613926956328</v>
      </c>
      <c r="J48">
        <v>32000</v>
      </c>
      <c r="K48" cm="1">
        <f t="array" ref="K48">B76optionValue(J48,StrikePrice,rate,sigma,TimeofExpiration,Style)</f>
        <v>23.869967897528358</v>
      </c>
    </row>
    <row r="49" spans="3:11" x14ac:dyDescent="0.4">
      <c r="C49">
        <v>33000</v>
      </c>
      <c r="D49" cm="1">
        <f t="array" ref="D49">B76optionValue(C$4,$C49,rate,sigma,TimeofExpiration,Style)</f>
        <v>6861.4154601045793</v>
      </c>
      <c r="E49" cm="1">
        <f t="array" ref="E49">B76optionValue(D$4,$C49,rate,sigma,TimeofExpiration,Style)</f>
        <v>2058.3544562321026</v>
      </c>
      <c r="F49" cm="1">
        <f t="array" ref="F49">B76optionValue(E$4,$C49,rate,sigma,TimeofExpiration,Style)</f>
        <v>16.769650464484865</v>
      </c>
      <c r="J49">
        <v>33000</v>
      </c>
      <c r="K49" cm="1">
        <f t="array" ref="K49">B76optionValue(J49,StrikePrice,rate,sigma,TimeofExpiration,Style)</f>
        <v>97.957109618594501</v>
      </c>
    </row>
    <row r="50" spans="3:11" x14ac:dyDescent="0.4">
      <c r="C50">
        <v>34000</v>
      </c>
      <c r="D50" cm="1">
        <f t="array" ref="D50">B76optionValue(C$4,$C50,rate,sigma,TimeofExpiration,Style)</f>
        <v>5881.4693961111534</v>
      </c>
      <c r="E50" cm="1">
        <f t="array" ref="E50">B76optionValue(D$4,$C50,rate,sigma,TimeofExpiration,Style)</f>
        <v>1274.8236572218732</v>
      </c>
      <c r="F50" cm="1">
        <f t="array" ref="F50">B76optionValue(E$4,$C50,rate,sigma,TimeofExpiration,Style)</f>
        <v>3.1046033532607851</v>
      </c>
      <c r="J50">
        <v>34000</v>
      </c>
      <c r="K50" cm="1">
        <f t="array" ref="K50">B76optionValue(J50,StrikePrice,rate,sigma,TimeofExpiration,Style)</f>
        <v>294.62498391511787</v>
      </c>
    </row>
    <row r="51" spans="3:11" x14ac:dyDescent="0.4">
      <c r="C51">
        <v>35000</v>
      </c>
      <c r="D51" cm="1">
        <f t="array" ref="D51">B76optionValue(C$4,$C51,rate,sigma,TimeofExpiration,Style)</f>
        <v>4903.1320099494533</v>
      </c>
      <c r="E51" cm="1">
        <f t="array" ref="E51">B76optionValue(D$4,$C51,rate,sigma,TimeofExpiration,Style)</f>
        <v>684.25343731498913</v>
      </c>
      <c r="F51" cm="1">
        <f t="array" ref="F51">B76optionValue(E$4,$C51,rate,sigma,TimeofExpiration,Style)</f>
        <v>0.45116045062817728</v>
      </c>
      <c r="J51">
        <v>35000</v>
      </c>
      <c r="K51" cm="1">
        <f t="array" ref="K51">B76optionValue(J51,StrikePrice,rate,sigma,TimeofExpiration,Style)</f>
        <v>684.25343731498913</v>
      </c>
    </row>
    <row r="52" spans="3:11" x14ac:dyDescent="0.4">
      <c r="C52">
        <v>36000</v>
      </c>
      <c r="D52" cm="1">
        <f t="array" ref="D52">B76optionValue(C$4,$C52,rate,sigma,TimeofExpiration,Style)</f>
        <v>3932.584057922551</v>
      </c>
      <c r="E52" cm="1">
        <f t="array" ref="E52">B76optionValue(D$4,$C52,rate,sigma,TimeofExpiration,Style)</f>
        <v>311.22987170612674</v>
      </c>
      <c r="F52" cm="1">
        <f t="array" ref="F52">B76optionValue(E$4,$C52,rate,sigma,TimeofExpiration,Style)</f>
        <v>5.2085479460504902E-2</v>
      </c>
      <c r="J52">
        <v>36000</v>
      </c>
      <c r="K52" cm="1">
        <f t="array" ref="K52">B76optionValue(J52,StrikePrice,rate,sigma,TimeofExpiration,Style)</f>
        <v>1291.4285450128821</v>
      </c>
    </row>
    <row r="53" spans="3:11" x14ac:dyDescent="0.4">
      <c r="C53">
        <v>37000</v>
      </c>
      <c r="D53" cm="1">
        <f t="array" ref="D53">B76optionValue(C$4,$C53,rate,sigma,TimeofExpiration,Style)</f>
        <v>2988.796506086504</v>
      </c>
      <c r="E53" cm="1">
        <f t="array" ref="E53">B76optionValue(D$4,$C53,rate,sigma,TimeofExpiration,Style)</f>
        <v>118.29621317278273</v>
      </c>
      <c r="F53" cm="1">
        <f t="array" ref="F53">B76optionValue(E$4,$C53,rate,sigma,TimeofExpiration,Style)</f>
        <v>4.8423643801868092E-3</v>
      </c>
      <c r="J53">
        <v>37000</v>
      </c>
      <c r="K53" cm="1">
        <f t="array" ref="K53">B76optionValue(J53,StrikePrice,rate,sigma,TimeofExpiration,Style)</f>
        <v>2078.6935597862916</v>
      </c>
    </row>
    <row r="54" spans="3:11" x14ac:dyDescent="0.4">
      <c r="C54">
        <v>38000</v>
      </c>
      <c r="D54" cm="1">
        <f t="array" ref="D54">B76optionValue(C$4,$C54,rate,sigma,TimeofExpiration,Style)</f>
        <v>2111.8748644312777</v>
      </c>
      <c r="E54" cm="1">
        <f t="array" ref="E54">B76optionValue(D$4,$C54,rate,sigma,TimeofExpiration,Style)</f>
        <v>37.34257270382134</v>
      </c>
      <c r="F54" cm="1">
        <f t="array" ref="F54">B76optionValue(E$4,$C54,rate,sigma,TimeofExpiration,Style)</f>
        <v>3.6766962653244533E-4</v>
      </c>
      <c r="J54">
        <v>38000</v>
      </c>
      <c r="K54" cm="1">
        <f t="array" ref="K54">B76optionValue(J54,StrikePrice,rate,sigma,TimeofExpiration,Style)</f>
        <v>2977.9385926240893</v>
      </c>
    </row>
    <row r="55" spans="3:11" x14ac:dyDescent="0.4">
      <c r="C55">
        <v>39000</v>
      </c>
      <c r="D55" cm="1">
        <f t="array" ref="D55">B76optionValue(C$4,$C55,rate,sigma,TimeofExpiration,Style)</f>
        <v>1359.2377615526141</v>
      </c>
      <c r="E55" cm="1">
        <f t="array" ref="E55">B76optionValue(D$4,$C55,rate,sigma,TimeofExpiration,Style)</f>
        <v>9.7880863136665006</v>
      </c>
      <c r="F55" cm="1">
        <f t="array" ref="F55">B76optionValue(E$4,$C55,rate,sigma,TimeofExpiration,Style)</f>
        <v>2.3118523320976469E-5</v>
      </c>
      <c r="J55">
        <v>39000</v>
      </c>
      <c r="K55" cm="1">
        <f t="array" ref="K55">B76optionValue(J55,StrikePrice,rate,sigma,TimeofExpiration,Style)</f>
        <v>3930.5827795406881</v>
      </c>
    </row>
    <row r="56" spans="3:11" x14ac:dyDescent="0.4">
      <c r="C56">
        <v>40000</v>
      </c>
      <c r="D56" cm="1">
        <f t="array" ref="D56">B76optionValue(C$4,$C56,rate,sigma,TimeofExpiration,Style)</f>
        <v>782.00392835998036</v>
      </c>
      <c r="E56" cm="1">
        <f t="array" ref="E56">B76optionValue(D$4,$C56,rate,sigma,TimeofExpiration,Style)</f>
        <v>2.1386434156787937</v>
      </c>
      <c r="F56" cm="1">
        <f t="array" ref="F56">B76optionValue(E$4,$C56,rate,sigma,TimeofExpiration,Style)</f>
        <v>1.2200944778228135E-6</v>
      </c>
      <c r="J56">
        <v>40000</v>
      </c>
      <c r="K56" cm="1">
        <f t="array" ref="K56">B76optionValue(J56,StrikePrice,rate,sigma,TimeofExpiration,Style)</f>
        <v>4903.1320099494533</v>
      </c>
    </row>
    <row r="57" spans="3:11" x14ac:dyDescent="0.4">
      <c r="C57">
        <v>41000</v>
      </c>
      <c r="D57" cm="1">
        <f t="array" ref="D57">B76optionValue(C$4,$C57,rate,sigma,TimeofExpiration,Style)</f>
        <v>396.29190501138646</v>
      </c>
      <c r="E57" cm="1">
        <f t="array" ref="E57">B76optionValue(D$4,$C57,rate,sigma,TimeofExpiration,Style)</f>
        <v>0.3920295173474676</v>
      </c>
      <c r="F57" cm="1">
        <f t="array" ref="F57">B76optionValue(E$4,$C57,rate,sigma,TimeofExpiration,Style)</f>
        <v>5.4738620158447117E-8</v>
      </c>
      <c r="J57">
        <v>41000</v>
      </c>
      <c r="K57" cm="1">
        <f t="array" ref="K57">B76optionValue(J57,StrikePrice,rate,sigma,TimeofExpiration,Style)</f>
        <v>5881.5840693578766</v>
      </c>
    </row>
    <row r="58" spans="3:11" x14ac:dyDescent="0.4">
      <c r="C58">
        <v>42000</v>
      </c>
      <c r="D58" cm="1">
        <f t="array" ref="D58">B76optionValue(C$4,$C58,rate,sigma,TimeofExpiration,Style)</f>
        <v>175.18556788907773</v>
      </c>
      <c r="E58" cm="1">
        <f t="array" ref="E58">B76optionValue(D$4,$C58,rate,sigma,TimeofExpiration,Style)</f>
        <v>6.0766392703923401E-2</v>
      </c>
      <c r="F58" cm="1">
        <f t="array" ref="F58">B76optionValue(E$4,$C58,rate,sigma,TimeofExpiration,Style)</f>
        <v>2.1128469180670329E-9</v>
      </c>
      <c r="J58">
        <v>42000</v>
      </c>
      <c r="K58" cm="1">
        <f t="array" ref="K58">B76optionValue(J58,StrikePrice,rate,sigma,TimeofExpiration,Style)</f>
        <v>6861.4514795399964</v>
      </c>
    </row>
    <row r="59" spans="3:11" x14ac:dyDescent="0.4">
      <c r="C59">
        <v>43000</v>
      </c>
      <c r="D59" cm="1">
        <f t="array" ref="D59">B76optionValue(C$4,$C59,rate,sigma,TimeofExpiration,Style)</f>
        <v>67.218301197392236</v>
      </c>
      <c r="E59" cm="1">
        <f t="array" ref="E59">B76optionValue(D$4,$C59,rate,sigma,TimeofExpiration,Style)</f>
        <v>8.0336128309388393E-3</v>
      </c>
      <c r="F59" cm="1">
        <f t="array" ref="F59">B76optionValue(E$4,$C59,rate,sigma,TimeofExpiration,Style)</f>
        <v>7.0955005619068431E-11</v>
      </c>
      <c r="J59">
        <v>43000</v>
      </c>
      <c r="K59" cm="1">
        <f t="array" ref="K59">B76optionValue(J59,StrikePrice,rate,sigma,TimeofExpiration,Style)</f>
        <v>7841.5974200668752</v>
      </c>
    </row>
    <row r="60" spans="3:11" x14ac:dyDescent="0.4">
      <c r="C60">
        <v>44000</v>
      </c>
      <c r="D60" cm="1">
        <f t="array" ref="D60">B76optionValue(C$4,$C60,rate,sigma,TimeofExpiration,Style)</f>
        <v>22.359533952646562</v>
      </c>
      <c r="E60" cm="1">
        <f t="array" ref="E60">B76optionValue(D$4,$C60,rate,sigma,TimeofExpiration,Style)</f>
        <v>9.1392027297526655E-4</v>
      </c>
      <c r="F60" cm="1">
        <f t="array" ref="F60">B76optionValue(E$4,$C60,rate,sigma,TimeofExpiration,Style)</f>
        <v>2.0949344045265479E-12</v>
      </c>
      <c r="J60">
        <v>44000</v>
      </c>
      <c r="K60" cm="1">
        <f t="array" ref="K60">B76optionValue(J60,StrikePrice,rate,sigma,TimeofExpiration,Style)</f>
        <v>8821.7889736810648</v>
      </c>
    </row>
    <row r="61" spans="3:11" x14ac:dyDescent="0.4">
      <c r="C61">
        <v>45000</v>
      </c>
      <c r="D61" cm="1">
        <f t="array" ref="D61">B76optionValue(C$4,$C61,rate,sigma,TimeofExpiration,Style)</f>
        <v>6.4582131882202463</v>
      </c>
      <c r="E61" cm="1">
        <f t="array" ref="E61">B76optionValue(D$4,$C61,rate,sigma,TimeofExpiration,Style)</f>
        <v>9.0257398639368843E-5</v>
      </c>
      <c r="F61" cm="1">
        <f t="array" ref="F61">B76optionValue(E$4,$C61,rate,sigma,TimeofExpiration,Style)</f>
        <v>5.4908431838059384E-14</v>
      </c>
      <c r="J61">
        <v>45000</v>
      </c>
      <c r="K61" cm="1">
        <f t="array" ref="K61">B76optionValue(J61,StrikePrice,rate,sigma,TimeofExpiration,Style)</f>
        <v>9801.9868233249472</v>
      </c>
    </row>
  </sheetData>
  <phoneticPr fontId="1"/>
  <dataValidations count="1">
    <dataValidation type="list" allowBlank="1" showInputMessage="1" showErrorMessage="1" sqref="C3:E3" xr:uid="{A99BAE98-DD01-4913-80F6-1EE7A83BEFC8}">
      <formula1>"Call, Put"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7AD28-1719-45F6-A6D3-5804A9FC4740}">
  <sheetPr codeName="Sheet9"/>
  <dimension ref="B1:BI112"/>
  <sheetViews>
    <sheetView zoomScale="55" zoomScaleNormal="55" workbookViewId="0">
      <selection activeCell="AJ23" sqref="AJ23"/>
    </sheetView>
  </sheetViews>
  <sheetFormatPr defaultRowHeight="18.75" x14ac:dyDescent="0.4"/>
  <cols>
    <col min="9" max="9" width="9.875" bestFit="1" customWidth="1"/>
    <col min="10" max="11" width="9.375" customWidth="1"/>
    <col min="19" max="21" width="10.75" customWidth="1"/>
  </cols>
  <sheetData>
    <row r="1" spans="2:61" x14ac:dyDescent="0.4">
      <c r="BI1" t="s">
        <v>55</v>
      </c>
    </row>
    <row r="2" spans="2:61" x14ac:dyDescent="0.4">
      <c r="M2" s="19" t="s">
        <v>42</v>
      </c>
      <c r="N2" s="19"/>
      <c r="O2" s="19"/>
      <c r="P2" s="19"/>
      <c r="Q2" s="19"/>
    </row>
    <row r="11" spans="2:61" x14ac:dyDescent="0.4">
      <c r="B11" s="1" t="s">
        <v>6</v>
      </c>
      <c r="F11" s="5" t="s">
        <v>23</v>
      </c>
      <c r="G11" s="5" t="s">
        <v>43</v>
      </c>
      <c r="H11" s="5" t="s">
        <v>44</v>
      </c>
      <c r="I11" s="5" t="s">
        <v>45</v>
      </c>
      <c r="J11" s="5" t="s">
        <v>46</v>
      </c>
      <c r="K11" s="5" t="s">
        <v>47</v>
      </c>
      <c r="L11" s="5" t="s">
        <v>48</v>
      </c>
      <c r="M11" s="7" t="s">
        <v>49</v>
      </c>
      <c r="N11" s="7" t="s">
        <v>50</v>
      </c>
      <c r="O11" s="7" t="s">
        <v>51</v>
      </c>
      <c r="P11" s="7" t="s">
        <v>52</v>
      </c>
      <c r="Q11" s="7" t="s">
        <v>53</v>
      </c>
      <c r="R11" s="7" t="s">
        <v>54</v>
      </c>
      <c r="S11" s="9" t="s">
        <v>28</v>
      </c>
      <c r="T11" s="9" t="s">
        <v>29</v>
      </c>
      <c r="U11" s="9" t="s">
        <v>30</v>
      </c>
      <c r="V11" s="11" t="s">
        <v>31</v>
      </c>
      <c r="W11" s="11" t="s">
        <v>32</v>
      </c>
      <c r="X11" s="11" t="s">
        <v>33</v>
      </c>
      <c r="Y11" s="13" t="s">
        <v>34</v>
      </c>
      <c r="Z11" s="13" t="s">
        <v>36</v>
      </c>
      <c r="AA11" s="13" t="s">
        <v>35</v>
      </c>
      <c r="AB11" s="15" t="s">
        <v>37</v>
      </c>
      <c r="AC11" s="15" t="s">
        <v>39</v>
      </c>
      <c r="AD11" s="15" t="s">
        <v>38</v>
      </c>
      <c r="AE11" s="17" t="s">
        <v>40</v>
      </c>
      <c r="AF11" s="17" t="s">
        <v>56</v>
      </c>
      <c r="AG11" s="17" t="s">
        <v>57</v>
      </c>
      <c r="AH11" s="17" t="s">
        <v>58</v>
      </c>
      <c r="AI11" s="17" t="s">
        <v>59</v>
      </c>
      <c r="AJ11" s="17" t="s">
        <v>60</v>
      </c>
    </row>
    <row r="12" spans="2:61" x14ac:dyDescent="0.4">
      <c r="B12" t="s">
        <v>7</v>
      </c>
      <c r="C12" t="s">
        <v>8</v>
      </c>
      <c r="F12">
        <v>35000</v>
      </c>
      <c r="G12" s="6">
        <f t="shared" ref="G12:G43" si="0">(LN($C$13/$F12)+(sigma2^2/2))*(TimeofExpiration2)/(sigma2*SQRT(TimeofExpiration2))</f>
        <v>3.6688478155769961</v>
      </c>
      <c r="H12" s="6">
        <f t="shared" ref="H12:H43" si="1">(LN($D$13/$F12)+(sigma2^2/2))*(TimeofExpiration2)/(sigma2*SQRT(TimeofExpiration2))</f>
        <v>3.358284815613064</v>
      </c>
      <c r="I12" s="6">
        <f t="shared" ref="I12:I43" si="2">(LN($E$13/$F12)+(sigma2^2/2))*(TimeofExpiration2)/(sigma2*SQRT(TimeofExpiration2))</f>
        <v>3.043815260441562</v>
      </c>
      <c r="J12">
        <f t="shared" ref="J12:J43" si="3">$G12-sigma2*SQRT(TimeofExpiration2)</f>
        <v>3.6288478155769961</v>
      </c>
      <c r="K12">
        <f t="shared" ref="K12:K43" si="4">$H12-sigma2*SQRT(TimeofExpiration2)</f>
        <v>3.318284815613064</v>
      </c>
      <c r="L12">
        <f t="shared" ref="L12:L43" si="5">$I12-sigma2*SQRT(TimeofExpiration2)</f>
        <v>3.003815260441562</v>
      </c>
      <c r="M12" s="8">
        <f t="shared" ref="M12:M43" si="6">_xlfn.NORM.S.DIST(G12,TRUE)*EXP(-rate2*TimeofExpiration2)</f>
        <v>0.98007926253758648</v>
      </c>
      <c r="N12" s="8">
        <f t="shared" ref="N12:N43" si="7">_xlfn.NORM.S.DIST(H12,TRUE)*EXP(-rate2*TimeofExpiration2)</f>
        <v>0.97981429938561526</v>
      </c>
      <c r="O12" s="8">
        <f t="shared" ref="O12:O43" si="8">_xlfn.NORM.S.DIST(I12,TRUE)*EXP(-rate2*TimeofExpiration2)</f>
        <v>0.97905380840882084</v>
      </c>
      <c r="P12" s="8">
        <f t="shared" ref="P12:P43" si="9">M12-1*EXP(-rate2*TimeofExpiration2)</f>
        <v>-1.1941076916877069E-4</v>
      </c>
      <c r="Q12" s="8">
        <f t="shared" ref="Q12:Q43" si="10">N12-1*EXP(-rate2*TimeofExpiration2)</f>
        <v>-3.8437392113999103E-4</v>
      </c>
      <c r="R12" s="8">
        <f t="shared" ref="R12:R43" si="11">O12-1*EXP(-rate2*TimeofExpiration2)</f>
        <v>-1.1448648979344167E-3</v>
      </c>
      <c r="S12" s="10">
        <f t="shared" ref="S12:S43" si="12">(1/(Stock*sigma2*SQRT(TimeofExpiration2)))*_xlfn.NORM.S.DIST($G12,FALSE)*EXP(-rate2*TimeofExpiration2)</f>
        <v>2.8827754920578707E-7</v>
      </c>
      <c r="T12" s="10">
        <f t="shared" ref="T12:T43" si="13">(1/($D$13*sigma2*SQRT(TimeofExpiration2)))*_xlfn.NORM.S.DIST($H12,FALSE)*EXP(-rate2*TimeofExpiration2)</f>
        <v>8.6916236075475243E-7</v>
      </c>
      <c r="U12" s="10">
        <f t="shared" ref="U12:U43" si="14">(1/($E$13*sigma2*SQRT(TimeofExpiration2)))*_xlfn.NORM.S.DIST($I12,FALSE)*EXP(-rate2*TimeofExpiration2)</f>
        <v>2.4084568444067144E-6</v>
      </c>
      <c r="V12" s="12">
        <f t="shared" ref="V12:V43" si="15">Stock*SQRT(TimeofExpiration2)*_xlfn.NORM.S.DIST(G12,FALSE)*EXP(-rate2*TimeofExpiration2)</f>
        <v>18.913890003391693</v>
      </c>
      <c r="W12" s="12">
        <f t="shared" ref="W12:W43" si="16">$D$13*SQRT(TimeofExpiration2)*_xlfn.NORM.S.DIST($H12,FALSE)*EXP(-rate2*TimeofExpiration2)</f>
        <v>55.626391088304153</v>
      </c>
      <c r="X12" s="12">
        <f t="shared" ref="X12:X43" si="17">$E$13*SQRT(TimeofExpiration2)*_xlfn.NORM.S.DIST($I12,FALSE)*EXP(-rate2*TimeofExpiration2)</f>
        <v>150.31179165942302</v>
      </c>
      <c r="Y12" s="14">
        <f t="shared" ref="Y12:Y43" si="18">-(C$13*sigma2*_xlfn.NORM.S.DIST($G12,FALSE)/2*SQRT(TimeofExpiration2))*EXP(-rate2*TimeofExpiration2) + rate2* C$13*_xlfn.NORM.S.DIST($G12,TRUE)*EXP(-rate2*TimeofExpiration2) - rate2*$F12*EXP(-rate2*TimeofExpiration2)*_xlfn.NORM.S.DIST($J12,TRUE)*EXP(-rate2*TimeofExpiration2)</f>
        <v>121.02905161241779</v>
      </c>
      <c r="Z12" s="14">
        <f t="shared" ref="Z12:Z43" si="19">-(D$13*sigma2*_xlfn.NORM.S.DIST($G12,FALSE)/2*SQRT(TimeofExpiration2))*EXP(-rate2*TimeofExpiration2) + rate2* D$13*_xlfn.NORM.S.DIST($G12,TRUE)*EXP(-rate2*TimeofExpiration2) - rate2*$F12*EXP(-rate2*TimeofExpiration2)*_xlfn.NORM.S.DIST($J12,TRUE)*EXP(-rate2*TimeofExpiration2)</f>
        <v>111.23292908333906</v>
      </c>
      <c r="AA12" s="14">
        <f t="shared" ref="AA12:AA43" si="20">-(E$13*sigma2*_xlfn.NORM.S.DIST($G12,FALSE)/2*SQRT(TimeofExpiration2))*EXP(-rate2*TimeofExpiration2) + rate2* E$13*_xlfn.NORM.S.DIST($G12,TRUE)*EXP(-rate2*TimeofExpiration2) - rate2*$F12*EXP(-rate2*TimeofExpiration2)*_xlfn.NORM.S.DIST($J12,TRUE)*EXP(-rate2*TimeofExpiration2)</f>
        <v>101.43680655426044</v>
      </c>
      <c r="AB12" s="16">
        <f t="shared" ref="AB12:AB43" si="21">-(C$13*sigma2*_xlfn.NORM.S.DIST($G12,FALSE)/2*SQRT(TimeofExpiration2))*EXP(-rate2*TimeofExpiration2) - rate2* C$13*_xlfn.NORM.S.DIST(-$G12,TRUE)*EXP(-rate2*TimeofExpiration2) + rate2*$F12*EXP(-rate2*TimeofExpiration2)*_xlfn.NORM.S.DIST(-$J12,TRUE)*EXP(-rate2*TimeofExpiration2)</f>
        <v>-0.37926635942790965</v>
      </c>
      <c r="AC12" s="16">
        <f t="shared" ref="AC12:AC43" si="22">-(D$13*sigma2*_xlfn.NORM.S.DIST($G12,FALSE)/2*SQRT(TimeofExpiration2))*EXP(-rate2*TimeofExpiration2) - rate2* D$13*_xlfn.NORM.S.DIST(-$G12,TRUE)*EXP(-rate2*TimeofExpiration2) + rate2*$F12*EXP(-rate2*TimeofExpiration2)*_xlfn.NORM.S.DIST(-$J12,TRUE)*EXP(-rate2*TimeofExpiration2)</f>
        <v>-0.37340215543908817</v>
      </c>
      <c r="AD12" s="16">
        <f t="shared" ref="AD12:AD43" si="23">-(E$13*sigma2*_xlfn.NORM.S.DIST($G12,FALSE)/2*SQRT(TimeofExpiration2))*EXP(-rate2*TimeofExpiration2) - rate2* E$13*_xlfn.NORM.S.DIST(-$G12,TRUE)*EXP(-rate2*TimeofExpiration2) + rate2*$F12*EXP(-rate2*TimeofExpiration2)*_xlfn.NORM.S.DIST(-$J12,TRUE)*EXP(-rate2*TimeofExpiration2)</f>
        <v>-0.36753795145026674</v>
      </c>
      <c r="AE12" s="18">
        <f t="shared" ref="AE12:AE43" si="24">-TimeofExpiration2*EXP(-rate2*TimeofExpiration2)*(C$13*_xlfn.NORM.S.DIST(G12,TRUE)-Strike*_xlfn.NORM.S.DIST(J12,TRUE))</f>
        <v>-5391.1399731387719</v>
      </c>
      <c r="AF12" s="18">
        <f t="shared" ref="AF12:AF43" si="25">-TimeofExpiration2*EXP(-rate2*TimeofExpiration2)*(D$13*_xlfn.NORM.S.DIST(H12,TRUE)-Strike*_xlfn.NORM.S.DIST(K12,TRUE))</f>
        <v>-4901.1546702267697</v>
      </c>
      <c r="AG12" s="18">
        <f t="shared" ref="AG12:AG43" si="26">-TimeofExpiration2*EXP(-rate2*TimeofExpiration2)*(E$13*_xlfn.NORM.S.DIST(I12,TRUE)-Strike*_xlfn.NORM.S.DIST(L12,TRUE))</f>
        <v>-4411.4059795534959</v>
      </c>
      <c r="AH12" s="18">
        <f t="shared" ref="AH12:AH43" si="27">-TimeofExpiration2*EXP(-rate2*TimeofExpiration2)*(-C$13*(1=_xlfn.NORM.S.DIST(G12,TRUE))+Strike*(1-_xlfn.NORM.S.DIST(J12,TRUE)))</f>
        <v>-4.8834061029535309</v>
      </c>
      <c r="AI12" s="18">
        <f t="shared" ref="AI12:AI43" si="28">-TimeofExpiration2*EXP(-rate2*TimeofExpiration2)*(-D$13*(1=_xlfn.NORM.S.DIST(H12,TRUE))+Strike*(1-_xlfn.NORM.S.DIST(K12,TRUE)))</f>
        <v>-15.536260538586056</v>
      </c>
      <c r="AJ12" s="18">
        <f t="shared" ref="AJ12:AJ43" si="29">-TimeofExpiration2*EXP(-rate2*TimeofExpiration2)*(-E$13*(1=_xlfn.NORM.S.DIST(I12,TRUE))+Strike*(1-_xlfn.NORM.S.DIST(L12,TRUE)))</f>
        <v>-45.734113141500508</v>
      </c>
    </row>
    <row r="13" spans="2:61" x14ac:dyDescent="0.4">
      <c r="B13" t="s">
        <v>0</v>
      </c>
      <c r="C13">
        <v>40500</v>
      </c>
      <c r="D13">
        <v>40000</v>
      </c>
      <c r="E13">
        <v>39500</v>
      </c>
      <c r="F13">
        <v>35100</v>
      </c>
      <c r="G13" s="6">
        <f t="shared" si="0"/>
        <v>3.5975210910168309</v>
      </c>
      <c r="H13" s="6">
        <f t="shared" si="1"/>
        <v>3.286958091052905</v>
      </c>
      <c r="I13" s="6">
        <f t="shared" si="2"/>
        <v>2.9724885358813995</v>
      </c>
      <c r="J13">
        <f t="shared" si="3"/>
        <v>3.5575210910168309</v>
      </c>
      <c r="K13">
        <f t="shared" si="4"/>
        <v>3.246958091052905</v>
      </c>
      <c r="L13">
        <f t="shared" si="5"/>
        <v>2.9324885358813995</v>
      </c>
      <c r="M13" s="8">
        <f t="shared" si="6"/>
        <v>0.98004122181174436</v>
      </c>
      <c r="N13" s="8">
        <f t="shared" si="7"/>
        <v>0.97970232077015407</v>
      </c>
      <c r="O13" s="8">
        <f t="shared" si="8"/>
        <v>0.97875093828658188</v>
      </c>
      <c r="P13" s="8">
        <f t="shared" si="9"/>
        <v>-1.5745149501089628E-4</v>
      </c>
      <c r="Q13" s="8">
        <f t="shared" si="10"/>
        <v>-4.9635253660118561E-4</v>
      </c>
      <c r="R13" s="8">
        <f t="shared" si="11"/>
        <v>-1.4477350201733685E-3</v>
      </c>
      <c r="S13" s="10">
        <f t="shared" si="12"/>
        <v>3.7355560737798847E-7</v>
      </c>
      <c r="T13" s="10">
        <f t="shared" si="13"/>
        <v>1.1016029764504858E-6</v>
      </c>
      <c r="U13" s="10">
        <f t="shared" si="14"/>
        <v>2.9848450942232759E-6</v>
      </c>
      <c r="V13" s="12">
        <f t="shared" si="15"/>
        <v>24.508983400069823</v>
      </c>
      <c r="W13" s="12">
        <f t="shared" si="16"/>
        <v>70.502590492831075</v>
      </c>
      <c r="X13" s="12">
        <f t="shared" si="17"/>
        <v>186.28418233047464</v>
      </c>
      <c r="Y13" s="14">
        <f t="shared" si="18"/>
        <v>118.99527551961307</v>
      </c>
      <c r="Z13" s="14">
        <f t="shared" si="19"/>
        <v>109.20091490233506</v>
      </c>
      <c r="AA13" s="14">
        <f t="shared" si="20"/>
        <v>99.406554285057155</v>
      </c>
      <c r="AB13" s="16">
        <f t="shared" si="21"/>
        <v>-0.49146357392803863</v>
      </c>
      <c r="AC13" s="16">
        <f t="shared" si="22"/>
        <v>-0.48383745813840606</v>
      </c>
      <c r="AD13" s="16">
        <f t="shared" si="23"/>
        <v>-0.47621134234877371</v>
      </c>
      <c r="AE13" s="18">
        <f t="shared" si="24"/>
        <v>-5391.1376827725589</v>
      </c>
      <c r="AF13" s="18">
        <f t="shared" si="25"/>
        <v>-4901.1480349028598</v>
      </c>
      <c r="AG13" s="18">
        <f t="shared" si="26"/>
        <v>-4411.388320767639</v>
      </c>
      <c r="AH13" s="18">
        <f t="shared" si="27"/>
        <v>-6.4217651333503278</v>
      </c>
      <c r="AI13" s="18">
        <f t="shared" si="28"/>
        <v>-20.008769833131705</v>
      </c>
      <c r="AJ13" s="18">
        <f t="shared" si="29"/>
        <v>-57.67982418408446</v>
      </c>
    </row>
    <row r="14" spans="2:61" x14ac:dyDescent="0.4">
      <c r="B14" t="s">
        <v>1</v>
      </c>
      <c r="C14">
        <v>35000</v>
      </c>
      <c r="F14">
        <v>35200</v>
      </c>
      <c r="G14" s="6">
        <f t="shared" si="0"/>
        <v>3.5263972877110525</v>
      </c>
      <c r="H14" s="6">
        <f t="shared" si="1"/>
        <v>3.2158342877471249</v>
      </c>
      <c r="I14" s="6">
        <f t="shared" si="2"/>
        <v>2.9013647325756176</v>
      </c>
      <c r="J14">
        <f t="shared" si="3"/>
        <v>3.4863972877110525</v>
      </c>
      <c r="K14">
        <f t="shared" si="4"/>
        <v>3.1758342877471248</v>
      </c>
      <c r="L14">
        <f t="shared" si="5"/>
        <v>2.8613647325756175</v>
      </c>
      <c r="M14" s="8">
        <f t="shared" si="6"/>
        <v>0.97999221674184789</v>
      </c>
      <c r="N14" s="8">
        <f t="shared" si="7"/>
        <v>0.9795612211283341</v>
      </c>
      <c r="O14" s="8">
        <f t="shared" si="8"/>
        <v>0.97837775260273319</v>
      </c>
      <c r="P14" s="8">
        <f t="shared" si="9"/>
        <v>-2.0645656490736464E-4</v>
      </c>
      <c r="Q14" s="8">
        <f t="shared" si="10"/>
        <v>-6.3745217842114954E-4</v>
      </c>
      <c r="R14" s="8">
        <f t="shared" si="11"/>
        <v>-1.8209207040220665E-3</v>
      </c>
      <c r="S14" s="10">
        <f t="shared" si="12"/>
        <v>4.8125966096230867E-7</v>
      </c>
      <c r="T14" s="10">
        <f t="shared" si="13"/>
        <v>1.3882140062914497E-6</v>
      </c>
      <c r="U14" s="10">
        <f t="shared" si="14"/>
        <v>3.678235829296531E-6</v>
      </c>
      <c r="V14" s="12">
        <f t="shared" si="15"/>
        <v>31.575446355737071</v>
      </c>
      <c r="W14" s="12">
        <f t="shared" si="16"/>
        <v>88.845696402652777</v>
      </c>
      <c r="X14" s="12">
        <f t="shared" si="17"/>
        <v>229.55869810639652</v>
      </c>
      <c r="Y14" s="14">
        <f t="shared" si="18"/>
        <v>116.93199413905768</v>
      </c>
      <c r="Z14" s="14">
        <f t="shared" si="19"/>
        <v>107.13986837814673</v>
      </c>
      <c r="AA14" s="14">
        <f t="shared" si="20"/>
        <v>97.347742617235781</v>
      </c>
      <c r="AB14" s="16">
        <f t="shared" si="21"/>
        <v>-0.63316607617871712</v>
      </c>
      <c r="AC14" s="16">
        <f t="shared" si="22"/>
        <v>-0.62330510402205352</v>
      </c>
      <c r="AD14" s="16">
        <f t="shared" si="23"/>
        <v>-0.61344413186538982</v>
      </c>
      <c r="AE14" s="18">
        <f t="shared" si="24"/>
        <v>-5391.129097308456</v>
      </c>
      <c r="AF14" s="18">
        <f t="shared" si="25"/>
        <v>-4901.1236494142886</v>
      </c>
      <c r="AG14" s="18">
        <f t="shared" si="26"/>
        <v>-4411.3247089265178</v>
      </c>
      <c r="AH14" s="18">
        <f t="shared" si="27"/>
        <v>-8.3978850000535843</v>
      </c>
      <c r="AI14" s="18">
        <f t="shared" si="28"/>
        <v>-25.628370017354779</v>
      </c>
      <c r="AJ14" s="18">
        <f t="shared" si="29"/>
        <v>-72.357046854989093</v>
      </c>
    </row>
    <row r="15" spans="2:61" x14ac:dyDescent="0.4">
      <c r="B15" t="s">
        <v>2</v>
      </c>
      <c r="C15">
        <v>0.02</v>
      </c>
      <c r="F15">
        <v>35300</v>
      </c>
      <c r="G15" s="6">
        <f t="shared" si="0"/>
        <v>3.4554752543310578</v>
      </c>
      <c r="H15" s="6">
        <f t="shared" si="1"/>
        <v>3.1449122543671311</v>
      </c>
      <c r="I15" s="6">
        <f t="shared" si="2"/>
        <v>2.8304426991956295</v>
      </c>
      <c r="J15">
        <f t="shared" si="3"/>
        <v>3.4154752543310578</v>
      </c>
      <c r="K15">
        <f t="shared" si="4"/>
        <v>3.104912254367131</v>
      </c>
      <c r="L15">
        <f t="shared" si="5"/>
        <v>2.7904426991956295</v>
      </c>
      <c r="M15" s="8">
        <f t="shared" si="6"/>
        <v>0.97992945016835498</v>
      </c>
      <c r="N15" s="8">
        <f t="shared" si="7"/>
        <v>0.97938443868003355</v>
      </c>
      <c r="O15" s="8">
        <f t="shared" si="8"/>
        <v>0.97792051335570573</v>
      </c>
      <c r="P15" s="8">
        <f t="shared" si="9"/>
        <v>-2.6922313840027634E-4</v>
      </c>
      <c r="Q15" s="8">
        <f t="shared" si="10"/>
        <v>-8.1423462672169933E-4</v>
      </c>
      <c r="R15" s="8">
        <f t="shared" si="11"/>
        <v>-2.2781599510495187E-3</v>
      </c>
      <c r="S15" s="10">
        <f t="shared" si="12"/>
        <v>6.1645865659294815E-7</v>
      </c>
      <c r="T15" s="10">
        <f t="shared" si="13"/>
        <v>1.7394632222926654E-6</v>
      </c>
      <c r="U15" s="10">
        <f t="shared" si="14"/>
        <v>4.5072578903243691E-6</v>
      </c>
      <c r="V15" s="12">
        <f t="shared" si="15"/>
        <v>40.445852459063332</v>
      </c>
      <c r="W15" s="12">
        <f t="shared" si="16"/>
        <v>111.32564622673058</v>
      </c>
      <c r="X15" s="12">
        <f t="shared" si="17"/>
        <v>281.29796493514391</v>
      </c>
      <c r="Y15" s="14">
        <f t="shared" si="18"/>
        <v>114.83253863411824</v>
      </c>
      <c r="Z15" s="14">
        <f t="shared" si="19"/>
        <v>105.04323076267144</v>
      </c>
      <c r="AA15" s="14">
        <f t="shared" si="20"/>
        <v>95.253922891224761</v>
      </c>
      <c r="AB15" s="16">
        <f t="shared" si="21"/>
        <v>-0.81104270281345747</v>
      </c>
      <c r="AC15" s="16">
        <f t="shared" si="22"/>
        <v>-0.79836384119264814</v>
      </c>
      <c r="AD15" s="16">
        <f t="shared" si="23"/>
        <v>-0.78568497957183858</v>
      </c>
      <c r="AE15" s="18">
        <f t="shared" si="24"/>
        <v>-5391.1109244418512</v>
      </c>
      <c r="AF15" s="18">
        <f t="shared" si="25"/>
        <v>-4901.0731337729367</v>
      </c>
      <c r="AG15" s="18">
        <f t="shared" si="26"/>
        <v>-4411.1957801851931</v>
      </c>
      <c r="AH15" s="18">
        <f t="shared" si="27"/>
        <v>-10.92175835991419</v>
      </c>
      <c r="AI15" s="18">
        <f t="shared" si="28"/>
        <v>-32.649152308028029</v>
      </c>
      <c r="AJ15" s="18">
        <f t="shared" si="29"/>
        <v>-90.289068371247424</v>
      </c>
    </row>
    <row r="16" spans="2:61" x14ac:dyDescent="0.4">
      <c r="B16" t="s">
        <v>3</v>
      </c>
      <c r="C16">
        <v>0.04</v>
      </c>
      <c r="F16">
        <v>35400</v>
      </c>
      <c r="G16" s="6">
        <f t="shared" si="0"/>
        <v>3.3847538493191185</v>
      </c>
      <c r="H16" s="6">
        <f t="shared" si="1"/>
        <v>3.0741908493551886</v>
      </c>
      <c r="I16" s="6">
        <f t="shared" si="2"/>
        <v>2.7597212941836848</v>
      </c>
      <c r="J16">
        <f t="shared" si="3"/>
        <v>3.3447538493191185</v>
      </c>
      <c r="K16">
        <f t="shared" si="4"/>
        <v>3.0341908493551886</v>
      </c>
      <c r="L16">
        <f t="shared" si="5"/>
        <v>2.7197212941836848</v>
      </c>
      <c r="M16" s="8">
        <f t="shared" si="6"/>
        <v>0.9798495161968489</v>
      </c>
      <c r="N16" s="8">
        <f t="shared" si="7"/>
        <v>0.97916419928166221</v>
      </c>
      <c r="O16" s="8">
        <f t="shared" si="8"/>
        <v>0.97736341474598487</v>
      </c>
      <c r="P16" s="8">
        <f t="shared" si="9"/>
        <v>-3.4915710990635063E-4</v>
      </c>
      <c r="Q16" s="8">
        <f t="shared" si="10"/>
        <v>-1.0344740250930462E-3</v>
      </c>
      <c r="R16" s="8">
        <f t="shared" si="11"/>
        <v>-2.8352585607703817E-3</v>
      </c>
      <c r="S16" s="10">
        <f t="shared" si="12"/>
        <v>7.8514354840502776E-7</v>
      </c>
      <c r="T16" s="10">
        <f t="shared" si="13"/>
        <v>2.1673135980944759E-6</v>
      </c>
      <c r="U16" s="10">
        <f t="shared" si="14"/>
        <v>5.4923767643833537E-6</v>
      </c>
      <c r="V16" s="12">
        <f t="shared" si="15"/>
        <v>51.51326821085388</v>
      </c>
      <c r="W16" s="12">
        <f t="shared" si="16"/>
        <v>138.70807027804645</v>
      </c>
      <c r="X16" s="12">
        <f t="shared" si="17"/>
        <v>342.77923386516511</v>
      </c>
      <c r="Y16" s="14">
        <f t="shared" si="18"/>
        <v>112.68902734726396</v>
      </c>
      <c r="Z16" s="14">
        <f t="shared" si="19"/>
        <v>102.90325151077957</v>
      </c>
      <c r="AA16" s="14">
        <f t="shared" si="20"/>
        <v>93.117475674295179</v>
      </c>
      <c r="AB16" s="16">
        <f t="shared" si="21"/>
        <v>-1.0329751113630401</v>
      </c>
      <c r="AC16" s="16">
        <f t="shared" si="22"/>
        <v>-1.0167642147798155</v>
      </c>
      <c r="AD16" s="16">
        <f t="shared" si="23"/>
        <v>-1.0005533181965909</v>
      </c>
      <c r="AE16" s="18">
        <f t="shared" si="24"/>
        <v>-5391.0786934336038</v>
      </c>
      <c r="AF16" s="18">
        <f t="shared" si="25"/>
        <v>-4900.9854701445111</v>
      </c>
      <c r="AG16" s="18">
        <f t="shared" si="26"/>
        <v>-4410.9769196086781</v>
      </c>
      <c r="AH16" s="18">
        <f t="shared" si="27"/>
        <v>-14.126853197653022</v>
      </c>
      <c r="AI16" s="18">
        <f t="shared" si="28"/>
        <v>-41.371064614458533</v>
      </c>
      <c r="AJ16" s="18">
        <f t="shared" si="29"/>
        <v>-112.0756028787102</v>
      </c>
    </row>
    <row r="17" spans="2:36" x14ac:dyDescent="0.4">
      <c r="B17" t="s">
        <v>4</v>
      </c>
      <c r="C17">
        <v>1</v>
      </c>
      <c r="F17">
        <v>35500</v>
      </c>
      <c r="G17" s="6">
        <f t="shared" si="0"/>
        <v>3.3142319407780838</v>
      </c>
      <c r="H17" s="6">
        <f t="shared" si="1"/>
        <v>3.0036689408141557</v>
      </c>
      <c r="I17" s="6">
        <f t="shared" si="2"/>
        <v>2.6891993856426533</v>
      </c>
      <c r="J17">
        <f t="shared" si="3"/>
        <v>3.2742319407780838</v>
      </c>
      <c r="K17">
        <f t="shared" si="4"/>
        <v>2.9636689408141557</v>
      </c>
      <c r="L17">
        <f t="shared" si="5"/>
        <v>2.6491993856426532</v>
      </c>
      <c r="M17" s="8">
        <f t="shared" si="6"/>
        <v>0.97974829532087859</v>
      </c>
      <c r="N17" s="8">
        <f t="shared" si="7"/>
        <v>0.9788913558341622</v>
      </c>
      <c r="O17" s="8">
        <f t="shared" si="8"/>
        <v>0.97668840420369174</v>
      </c>
      <c r="P17" s="8">
        <f t="shared" si="9"/>
        <v>-4.5037798587665989E-4</v>
      </c>
      <c r="Q17" s="8">
        <f t="shared" si="10"/>
        <v>-1.3073174725930503E-3</v>
      </c>
      <c r="R17" s="8">
        <f t="shared" si="11"/>
        <v>-3.5102691030635125E-3</v>
      </c>
      <c r="S17" s="10">
        <f t="shared" si="12"/>
        <v>9.9433999641498175E-7</v>
      </c>
      <c r="T17" s="10">
        <f t="shared" si="13"/>
        <v>2.6853190924516419E-6</v>
      </c>
      <c r="U17" s="10">
        <f t="shared" si="14"/>
        <v>6.6558437678703339E-6</v>
      </c>
      <c r="V17" s="12">
        <f t="shared" si="15"/>
        <v>65.238647164786968</v>
      </c>
      <c r="W17" s="12">
        <f t="shared" si="16"/>
        <v>171.86042191690507</v>
      </c>
      <c r="X17" s="12">
        <f t="shared" si="17"/>
        <v>415.39120955278753</v>
      </c>
      <c r="Y17" s="14">
        <f t="shared" si="18"/>
        <v>110.49221765813638</v>
      </c>
      <c r="Z17" s="14">
        <f t="shared" si="19"/>
        <v>100.71084301286942</v>
      </c>
      <c r="AA17" s="14">
        <f t="shared" si="20"/>
        <v>90.929468367602681</v>
      </c>
      <c r="AB17" s="16">
        <f t="shared" si="21"/>
        <v>-1.3082059221860853</v>
      </c>
      <c r="AC17" s="16">
        <f t="shared" si="22"/>
        <v>-1.287593834385397</v>
      </c>
      <c r="AD17" s="16">
        <f t="shared" si="23"/>
        <v>-1.2669817465847086</v>
      </c>
      <c r="AE17" s="18">
        <f t="shared" si="24"/>
        <v>-5391.0264362130592</v>
      </c>
      <c r="AF17" s="18">
        <f t="shared" si="25"/>
        <v>-4900.8464038218481</v>
      </c>
      <c r="AG17" s="18">
        <f t="shared" si="26"/>
        <v>-4410.6373091663563</v>
      </c>
      <c r="AH17" s="18">
        <f t="shared" si="27"/>
        <v>-18.174041453909076</v>
      </c>
      <c r="AI17" s="18">
        <f t="shared" si="28"/>
        <v>-52.145736191786547</v>
      </c>
      <c r="AJ17" s="18">
        <f t="shared" si="29"/>
        <v>-138.39890885696536</v>
      </c>
    </row>
    <row r="18" spans="2:36" x14ac:dyDescent="0.4">
      <c r="F18">
        <v>35600</v>
      </c>
      <c r="G18" s="6">
        <f t="shared" si="0"/>
        <v>3.2439084063627157</v>
      </c>
      <c r="H18" s="6">
        <f t="shared" si="1"/>
        <v>2.9333454063987898</v>
      </c>
      <c r="I18" s="6">
        <f t="shared" si="2"/>
        <v>2.6188758512272847</v>
      </c>
      <c r="J18">
        <f t="shared" si="3"/>
        <v>3.2039084063627157</v>
      </c>
      <c r="K18">
        <f t="shared" si="4"/>
        <v>2.8933454063987898</v>
      </c>
      <c r="L18">
        <f t="shared" si="5"/>
        <v>2.5788758512272847</v>
      </c>
      <c r="M18" s="8">
        <f t="shared" si="6"/>
        <v>0.97962083808898748</v>
      </c>
      <c r="N18" s="8">
        <f t="shared" si="7"/>
        <v>0.97855522023965869</v>
      </c>
      <c r="O18" s="8">
        <f t="shared" si="8"/>
        <v>0.97587501462966997</v>
      </c>
      <c r="P18" s="8">
        <f t="shared" si="9"/>
        <v>-5.778352177677748E-4</v>
      </c>
      <c r="Q18" s="8">
        <f t="shared" si="10"/>
        <v>-1.6434530670965675E-3</v>
      </c>
      <c r="R18" s="8">
        <f t="shared" si="11"/>
        <v>-4.3236586770852847E-3</v>
      </c>
      <c r="S18" s="10">
        <f t="shared" si="12"/>
        <v>1.2522221863865766E-6</v>
      </c>
      <c r="T18" s="10">
        <f t="shared" si="13"/>
        <v>3.3087003868307743E-6</v>
      </c>
      <c r="U18" s="10">
        <f t="shared" si="14"/>
        <v>8.0215890380121429E-6</v>
      </c>
      <c r="V18" s="12">
        <f t="shared" si="15"/>
        <v>82.158297648823279</v>
      </c>
      <c r="W18" s="12">
        <f t="shared" si="16"/>
        <v>211.75682475716954</v>
      </c>
      <c r="X18" s="12">
        <f t="shared" si="17"/>
        <v>500.62737186233778</v>
      </c>
      <c r="Y18" s="14">
        <f t="shared" si="18"/>
        <v>108.23135641760086</v>
      </c>
      <c r="Z18" s="14">
        <f t="shared" si="19"/>
        <v>98.455434036130328</v>
      </c>
      <c r="AA18" s="14">
        <f t="shared" si="20"/>
        <v>88.679511654660018</v>
      </c>
      <c r="AB18" s="16">
        <f t="shared" si="21"/>
        <v>-1.6474882844169101</v>
      </c>
      <c r="AC18" s="16">
        <f t="shared" si="22"/>
        <v>-1.6214239328197704</v>
      </c>
      <c r="AD18" s="16">
        <f t="shared" si="23"/>
        <v>-1.5953595812226302</v>
      </c>
      <c r="AE18" s="18">
        <f t="shared" si="24"/>
        <v>-5390.9463060504659</v>
      </c>
      <c r="AF18" s="18">
        <f t="shared" si="25"/>
        <v>-4900.6377576882333</v>
      </c>
      <c r="AG18" s="18">
        <f t="shared" si="26"/>
        <v>-4410.1388965933929</v>
      </c>
      <c r="AH18" s="18">
        <f t="shared" si="27"/>
        <v>-23.255929182907828</v>
      </c>
      <c r="AI18" s="18">
        <f t="shared" si="28"/>
        <v>-65.382513838316385</v>
      </c>
      <c r="AJ18" s="18">
        <f t="shared" si="29"/>
        <v>-170.02938445786648</v>
      </c>
    </row>
    <row r="19" spans="2:36" x14ac:dyDescent="0.4">
      <c r="F19">
        <v>35700</v>
      </c>
      <c r="G19" s="6">
        <f t="shared" si="0"/>
        <v>3.1737821331725007</v>
      </c>
      <c r="H19" s="6">
        <f t="shared" si="1"/>
        <v>2.8632191332085726</v>
      </c>
      <c r="I19" s="6">
        <f t="shared" si="2"/>
        <v>2.548749578037071</v>
      </c>
      <c r="J19">
        <f t="shared" si="3"/>
        <v>3.1337821331725007</v>
      </c>
      <c r="K19">
        <f t="shared" si="4"/>
        <v>2.8232191332085725</v>
      </c>
      <c r="L19">
        <f t="shared" si="5"/>
        <v>2.508749578037071</v>
      </c>
      <c r="M19" s="8">
        <f t="shared" si="6"/>
        <v>0.97946123756111558</v>
      </c>
      <c r="N19" s="8">
        <f t="shared" si="7"/>
        <v>0.9781433906494359</v>
      </c>
      <c r="O19" s="8">
        <f t="shared" si="8"/>
        <v>0.97490021429533258</v>
      </c>
      <c r="P19" s="8">
        <f t="shared" si="9"/>
        <v>-7.3743574563966963E-4</v>
      </c>
      <c r="Q19" s="8">
        <f t="shared" si="10"/>
        <v>-2.0552826573193572E-3</v>
      </c>
      <c r="R19" s="8">
        <f t="shared" si="11"/>
        <v>-5.2984590114226737E-3</v>
      </c>
      <c r="S19" s="10">
        <f t="shared" si="12"/>
        <v>1.5682244912348184E-6</v>
      </c>
      <c r="T19" s="10">
        <f t="shared" si="13"/>
        <v>4.0543939305726937E-6</v>
      </c>
      <c r="U19" s="10">
        <f t="shared" si="14"/>
        <v>9.615051093532051E-6</v>
      </c>
      <c r="V19" s="12">
        <f t="shared" si="15"/>
        <v>102.89120886991644</v>
      </c>
      <c r="W19" s="12">
        <f t="shared" si="16"/>
        <v>259.4812115566524</v>
      </c>
      <c r="X19" s="12">
        <f t="shared" si="17"/>
        <v>600.07533874733531</v>
      </c>
      <c r="Y19" s="14">
        <f t="shared" si="18"/>
        <v>105.89403328775813</v>
      </c>
      <c r="Z19" s="14">
        <f t="shared" si="19"/>
        <v>96.124826148905072</v>
      </c>
      <c r="AA19" s="14">
        <f t="shared" si="20"/>
        <v>86.355619010051896</v>
      </c>
      <c r="AB19" s="16">
        <f t="shared" si="21"/>
        <v>-2.0632325359548651</v>
      </c>
      <c r="AC19" s="16">
        <f t="shared" si="22"/>
        <v>-2.0304529417404655</v>
      </c>
      <c r="AD19" s="16">
        <f t="shared" si="23"/>
        <v>-1.9976733475260651</v>
      </c>
      <c r="AE19" s="18">
        <f t="shared" si="24"/>
        <v>-5390.8281272250388</v>
      </c>
      <c r="AF19" s="18">
        <f t="shared" si="25"/>
        <v>-4900.3366586164566</v>
      </c>
      <c r="AG19" s="18">
        <f t="shared" si="26"/>
        <v>-4409.4352985529422</v>
      </c>
      <c r="AH19" s="18">
        <f t="shared" si="27"/>
        <v>-29.601571736287756</v>
      </c>
      <c r="AI19" s="18">
        <f t="shared" si="28"/>
        <v>-81.554598375453281</v>
      </c>
      <c r="AJ19" s="18">
        <f t="shared" si="29"/>
        <v>-207.83039962373954</v>
      </c>
    </row>
    <row r="20" spans="2:36" x14ac:dyDescent="0.4">
      <c r="F20">
        <v>35800</v>
      </c>
      <c r="G20" s="6">
        <f t="shared" si="0"/>
        <v>3.1038520176459716</v>
      </c>
      <c r="H20" s="6">
        <f t="shared" si="1"/>
        <v>2.7932890176820404</v>
      </c>
      <c r="I20" s="6">
        <f t="shared" si="2"/>
        <v>2.4788194625105398</v>
      </c>
      <c r="J20">
        <f t="shared" si="3"/>
        <v>3.0638520176459716</v>
      </c>
      <c r="K20">
        <f t="shared" si="4"/>
        <v>2.7532890176820404</v>
      </c>
      <c r="L20">
        <f t="shared" si="5"/>
        <v>2.4388194625105397</v>
      </c>
      <c r="M20" s="8">
        <f t="shared" si="6"/>
        <v>0.97926249120503372</v>
      </c>
      <c r="N20" s="8">
        <f t="shared" si="7"/>
        <v>0.97764157746035696</v>
      </c>
      <c r="O20" s="8">
        <f t="shared" si="8"/>
        <v>0.97373828147024355</v>
      </c>
      <c r="P20" s="8">
        <f t="shared" si="9"/>
        <v>-9.3618210172152772E-4</v>
      </c>
      <c r="Q20" s="8">
        <f t="shared" si="10"/>
        <v>-2.557095846398294E-3</v>
      </c>
      <c r="R20" s="8">
        <f t="shared" si="11"/>
        <v>-6.460391836511703E-3</v>
      </c>
      <c r="S20" s="10">
        <f t="shared" si="12"/>
        <v>1.9531470096319363E-6</v>
      </c>
      <c r="T20" s="10">
        <f t="shared" si="13"/>
        <v>4.9410672401378747E-6</v>
      </c>
      <c r="U20" s="10">
        <f t="shared" si="14"/>
        <v>1.1462936698567962E-5</v>
      </c>
      <c r="V20" s="12">
        <f t="shared" si="15"/>
        <v>128.14597530195132</v>
      </c>
      <c r="W20" s="12">
        <f t="shared" si="16"/>
        <v>316.22830336882396</v>
      </c>
      <c r="X20" s="12">
        <f t="shared" si="17"/>
        <v>715.40187935762651</v>
      </c>
      <c r="Y20" s="14">
        <f t="shared" si="18"/>
        <v>103.46604222109227</v>
      </c>
      <c r="Z20" s="14">
        <f t="shared" si="19"/>
        <v>93.705058290598004</v>
      </c>
      <c r="AA20" s="14">
        <f t="shared" si="20"/>
        <v>83.944074360103627</v>
      </c>
      <c r="AB20" s="16">
        <f t="shared" si="21"/>
        <v>-2.5696447243161216</v>
      </c>
      <c r="AC20" s="16">
        <f t="shared" si="22"/>
        <v>-2.5286419217428699</v>
      </c>
      <c r="AD20" s="16">
        <f t="shared" si="23"/>
        <v>-2.4876391191696174</v>
      </c>
      <c r="AE20" s="18">
        <f t="shared" si="24"/>
        <v>-5390.6588697837615</v>
      </c>
      <c r="AF20" s="18">
        <f t="shared" si="25"/>
        <v>-4899.914677027662</v>
      </c>
      <c r="AG20" s="18">
        <f t="shared" si="26"/>
        <v>-4408.470656769884</v>
      </c>
      <c r="AH20" s="18">
        <f t="shared" si="27"/>
        <v>-37.481541716326554</v>
      </c>
      <c r="AI20" s="18">
        <f t="shared" si="28"/>
        <v>-101.20514434981881</v>
      </c>
      <c r="AJ20" s="18">
        <f t="shared" si="29"/>
        <v>-252.76210443169666</v>
      </c>
    </row>
    <row r="21" spans="2:36" x14ac:dyDescent="0.4">
      <c r="F21">
        <v>35900</v>
      </c>
      <c r="G21" s="6">
        <f t="shared" si="0"/>
        <v>3.0341169654565081</v>
      </c>
      <c r="H21" s="6">
        <f t="shared" si="1"/>
        <v>2.7235539654925791</v>
      </c>
      <c r="I21" s="6">
        <f t="shared" si="2"/>
        <v>2.4090844103210753</v>
      </c>
      <c r="J21">
        <f t="shared" si="3"/>
        <v>2.9941169654565081</v>
      </c>
      <c r="K21">
        <f t="shared" si="4"/>
        <v>2.6835539654925791</v>
      </c>
      <c r="L21">
        <f t="shared" si="5"/>
        <v>2.3690844103210753</v>
      </c>
      <c r="M21" s="8">
        <f t="shared" si="6"/>
        <v>0.97901635335694481</v>
      </c>
      <c r="N21" s="8">
        <f t="shared" si="7"/>
        <v>0.97703343224958983</v>
      </c>
      <c r="O21" s="8">
        <f t="shared" si="8"/>
        <v>0.9723607113258822</v>
      </c>
      <c r="P21" s="8">
        <f t="shared" si="9"/>
        <v>-1.1823199498104398E-3</v>
      </c>
      <c r="Q21" s="8">
        <f t="shared" si="10"/>
        <v>-3.1652410571654244E-3</v>
      </c>
      <c r="R21" s="8">
        <f t="shared" si="11"/>
        <v>-7.8379619808730538E-3</v>
      </c>
      <c r="S21" s="10">
        <f t="shared" si="12"/>
        <v>2.4192503428531146E-6</v>
      </c>
      <c r="T21" s="10">
        <f t="shared" si="13"/>
        <v>5.9890932001910244E-6</v>
      </c>
      <c r="U21" s="10">
        <f t="shared" si="14"/>
        <v>1.3592906159138014E-5</v>
      </c>
      <c r="V21" s="12">
        <f t="shared" si="15"/>
        <v>158.72701499459285</v>
      </c>
      <c r="W21" s="12">
        <f t="shared" si="16"/>
        <v>383.30196481222549</v>
      </c>
      <c r="X21" s="12">
        <f t="shared" si="17"/>
        <v>848.33327339180335</v>
      </c>
      <c r="Y21" s="14">
        <f t="shared" si="18"/>
        <v>100.93125720247099</v>
      </c>
      <c r="Z21" s="14">
        <f t="shared" si="19"/>
        <v>91.180285524455826</v>
      </c>
      <c r="AA21" s="14">
        <f t="shared" si="20"/>
        <v>81.42931384644055</v>
      </c>
      <c r="AB21" s="16">
        <f t="shared" si="21"/>
        <v>-3.1828508646327598</v>
      </c>
      <c r="AC21" s="16">
        <f t="shared" si="22"/>
        <v>-3.1318358095804366</v>
      </c>
      <c r="AD21" s="16">
        <f t="shared" si="23"/>
        <v>-3.0808207545281117</v>
      </c>
      <c r="AE21" s="18">
        <f t="shared" si="24"/>
        <v>-5390.4220445706087</v>
      </c>
      <c r="AF21" s="18">
        <f t="shared" si="25"/>
        <v>-4899.336884205215</v>
      </c>
      <c r="AG21" s="18">
        <f t="shared" si="26"/>
        <v>-4407.1784713423913</v>
      </c>
      <c r="AH21" s="18">
        <f t="shared" si="27"/>
        <v>-47.213299350773632</v>
      </c>
      <c r="AI21" s="18">
        <f t="shared" si="28"/>
        <v>-124.95315995805443</v>
      </c>
      <c r="AJ21" s="18">
        <f t="shared" si="29"/>
        <v>-305.88393970647576</v>
      </c>
    </row>
    <row r="22" spans="2:36" x14ac:dyDescent="0.4">
      <c r="F22">
        <v>36000</v>
      </c>
      <c r="G22" s="6">
        <f t="shared" si="0"/>
        <v>2.9645758914095861</v>
      </c>
      <c r="H22" s="6">
        <f t="shared" si="1"/>
        <v>2.6540128914456584</v>
      </c>
      <c r="I22" s="6">
        <f t="shared" si="2"/>
        <v>2.3395433362741564</v>
      </c>
      <c r="J22">
        <f t="shared" si="3"/>
        <v>2.9245758914095861</v>
      </c>
      <c r="K22">
        <f t="shared" si="4"/>
        <v>2.6140128914456584</v>
      </c>
      <c r="L22">
        <f t="shared" si="5"/>
        <v>2.2995433362741564</v>
      </c>
      <c r="M22" s="8">
        <f t="shared" si="6"/>
        <v>0.97871317990725826</v>
      </c>
      <c r="N22" s="8">
        <f t="shared" si="7"/>
        <v>0.9763003845622259</v>
      </c>
      <c r="O22" s="8">
        <f t="shared" si="8"/>
        <v>0.97073616295603515</v>
      </c>
      <c r="P22" s="8">
        <f t="shared" si="9"/>
        <v>-1.4854933994969954E-3</v>
      </c>
      <c r="Q22" s="8">
        <f t="shared" si="10"/>
        <v>-3.8982887445293546E-3</v>
      </c>
      <c r="R22" s="8">
        <f t="shared" si="11"/>
        <v>-9.4625103507200992E-3</v>
      </c>
      <c r="S22" s="10">
        <f t="shared" si="12"/>
        <v>2.9803343391501927E-6</v>
      </c>
      <c r="T22" s="10">
        <f t="shared" si="13"/>
        <v>7.2204761721537383E-6</v>
      </c>
      <c r="U22" s="10">
        <f t="shared" si="14"/>
        <v>1.6033181003642959E-5</v>
      </c>
      <c r="V22" s="12">
        <f t="shared" si="15"/>
        <v>195.53973599164414</v>
      </c>
      <c r="W22" s="12">
        <f t="shared" si="16"/>
        <v>462.11047501783924</v>
      </c>
      <c r="X22" s="12">
        <f t="shared" si="17"/>
        <v>1000.630826437357</v>
      </c>
      <c r="Y22" s="14">
        <f t="shared" si="18"/>
        <v>98.271529211931238</v>
      </c>
      <c r="Z22" s="14">
        <f t="shared" si="19"/>
        <v>88.532678829152815</v>
      </c>
      <c r="AA22" s="14">
        <f t="shared" si="20"/>
        <v>78.793828446374505</v>
      </c>
      <c r="AB22" s="16">
        <f t="shared" si="21"/>
        <v>-3.9209999768679435</v>
      </c>
      <c r="AC22" s="16">
        <f t="shared" si="22"/>
        <v>-3.8578636265787405</v>
      </c>
      <c r="AD22" s="16">
        <f t="shared" si="23"/>
        <v>-3.7947272762895374</v>
      </c>
      <c r="AE22" s="18">
        <f t="shared" si="24"/>
        <v>-5390.0970152613809</v>
      </c>
      <c r="AF22" s="18">
        <f t="shared" si="25"/>
        <v>-4898.5608358982481</v>
      </c>
      <c r="AG22" s="18">
        <f t="shared" si="26"/>
        <v>-4405.4804410744036</v>
      </c>
      <c r="AH22" s="18">
        <f t="shared" si="27"/>
        <v>-59.16679475385979</v>
      </c>
      <c r="AI22" s="18">
        <f t="shared" si="28"/>
        <v>-153.49901914564026</v>
      </c>
      <c r="AJ22" s="18">
        <f t="shared" si="29"/>
        <v>-368.35557004744811</v>
      </c>
    </row>
    <row r="23" spans="2:36" x14ac:dyDescent="0.4">
      <c r="F23">
        <v>36100</v>
      </c>
      <c r="G23" s="6">
        <f t="shared" si="0"/>
        <v>2.8952277193414542</v>
      </c>
      <c r="H23" s="6">
        <f t="shared" si="1"/>
        <v>2.5846647193775283</v>
      </c>
      <c r="I23" s="6">
        <f t="shared" si="2"/>
        <v>2.2701951642060232</v>
      </c>
      <c r="J23">
        <f t="shared" si="3"/>
        <v>2.8552277193414541</v>
      </c>
      <c r="K23">
        <f t="shared" si="4"/>
        <v>2.5446647193775283</v>
      </c>
      <c r="L23">
        <f t="shared" si="5"/>
        <v>2.2301951642060232</v>
      </c>
      <c r="M23" s="8">
        <f t="shared" si="6"/>
        <v>0.97834176746430401</v>
      </c>
      <c r="N23" s="8">
        <f t="shared" si="7"/>
        <v>0.97542149215229312</v>
      </c>
      <c r="O23" s="8">
        <f t="shared" si="8"/>
        <v>0.96883045441735283</v>
      </c>
      <c r="P23" s="8">
        <f t="shared" si="9"/>
        <v>-1.8569058424512397E-3</v>
      </c>
      <c r="Q23" s="8">
        <f t="shared" si="10"/>
        <v>-4.777181154462129E-3</v>
      </c>
      <c r="R23" s="8">
        <f t="shared" si="11"/>
        <v>-1.1368218889402426E-2</v>
      </c>
      <c r="S23" s="10">
        <f t="shared" si="12"/>
        <v>3.6517949838585251E-6</v>
      </c>
      <c r="T23" s="10">
        <f t="shared" si="13"/>
        <v>8.6587230746161591E-6</v>
      </c>
      <c r="U23" s="10">
        <f t="shared" si="14"/>
        <v>1.8812073232692234E-5</v>
      </c>
      <c r="V23" s="12">
        <f t="shared" si="15"/>
        <v>239.59426889095784</v>
      </c>
      <c r="W23" s="12">
        <f t="shared" si="16"/>
        <v>554.15827677543427</v>
      </c>
      <c r="X23" s="12">
        <f t="shared" si="17"/>
        <v>1174.0614904523222</v>
      </c>
      <c r="Y23" s="14">
        <f t="shared" si="18"/>
        <v>95.466612094243715</v>
      </c>
      <c r="Z23" s="14">
        <f t="shared" si="19"/>
        <v>85.742353498339298</v>
      </c>
      <c r="AA23" s="14">
        <f t="shared" si="20"/>
        <v>76.018094902434768</v>
      </c>
      <c r="AB23" s="16">
        <f t="shared" si="21"/>
        <v>-4.8043382162506489</v>
      </c>
      <c r="AC23" s="16">
        <f t="shared" si="22"/>
        <v>-4.7266100790876271</v>
      </c>
      <c r="AD23" s="16">
        <f t="shared" si="23"/>
        <v>-4.648881941924607</v>
      </c>
      <c r="AE23" s="18">
        <f t="shared" si="24"/>
        <v>-5389.6582262074489</v>
      </c>
      <c r="AF23" s="18">
        <f t="shared" si="25"/>
        <v>-4897.5354951995387</v>
      </c>
      <c r="AG23" s="18">
        <f t="shared" si="26"/>
        <v>-4403.2853461768082</v>
      </c>
      <c r="AH23" s="18">
        <f t="shared" si="27"/>
        <v>-73.770209639573324</v>
      </c>
      <c r="AI23" s="18">
        <f t="shared" si="28"/>
        <v>-187.62937484424924</v>
      </c>
      <c r="AJ23" s="18">
        <f t="shared" si="29"/>
        <v>-441.43596242781121</v>
      </c>
    </row>
    <row r="24" spans="2:36" x14ac:dyDescent="0.4">
      <c r="F24">
        <v>36200</v>
      </c>
      <c r="G24" s="6">
        <f t="shared" si="0"/>
        <v>2.8260713820192014</v>
      </c>
      <c r="H24" s="6">
        <f t="shared" si="1"/>
        <v>2.5155083820552746</v>
      </c>
      <c r="I24" s="6">
        <f t="shared" si="2"/>
        <v>2.2010388268837686</v>
      </c>
      <c r="J24">
        <f t="shared" si="3"/>
        <v>2.7860713820192013</v>
      </c>
      <c r="K24">
        <f t="shared" si="4"/>
        <v>2.4755083820552746</v>
      </c>
      <c r="L24">
        <f t="shared" si="5"/>
        <v>2.1610388268837686</v>
      </c>
      <c r="M24" s="8">
        <f t="shared" si="6"/>
        <v>0.97788918988274054</v>
      </c>
      <c r="N24" s="8">
        <f t="shared" si="7"/>
        <v>0.97437331089031909</v>
      </c>
      <c r="O24" s="8">
        <f t="shared" si="8"/>
        <v>0.96660661349036803</v>
      </c>
      <c r="P24" s="8">
        <f t="shared" si="9"/>
        <v>-2.3094834240147133E-3</v>
      </c>
      <c r="Q24" s="8">
        <f t="shared" si="10"/>
        <v>-5.8253624164361639E-3</v>
      </c>
      <c r="R24" s="8">
        <f t="shared" si="11"/>
        <v>-1.3592059816387225E-2</v>
      </c>
      <c r="S24" s="10">
        <f t="shared" si="12"/>
        <v>4.4506531843172147E-6</v>
      </c>
      <c r="T24" s="10">
        <f t="shared" si="13"/>
        <v>1.0328653296532021E-5</v>
      </c>
      <c r="U24" s="10">
        <f t="shared" si="14"/>
        <v>2.1957437930725876E-5</v>
      </c>
      <c r="V24" s="12">
        <f t="shared" si="15"/>
        <v>292.0073554230525</v>
      </c>
      <c r="W24" s="12">
        <f t="shared" si="16"/>
        <v>661.03381097804936</v>
      </c>
      <c r="X24" s="12">
        <f t="shared" si="17"/>
        <v>1370.3637012566019</v>
      </c>
      <c r="Y24" s="14">
        <f t="shared" si="18"/>
        <v>92.494125588703355</v>
      </c>
      <c r="Z24" s="14">
        <f t="shared" si="19"/>
        <v>82.787334271461873</v>
      </c>
      <c r="AA24" s="14">
        <f t="shared" si="20"/>
        <v>73.080542954220391</v>
      </c>
      <c r="AB24" s="16">
        <f t="shared" si="21"/>
        <v>-5.8552458434865384</v>
      </c>
      <c r="AC24" s="16">
        <f t="shared" si="22"/>
        <v>-5.7600504276604516</v>
      </c>
      <c r="AD24" s="16">
        <f t="shared" si="23"/>
        <v>-5.6648550118343639</v>
      </c>
      <c r="AE24" s="18">
        <f t="shared" si="24"/>
        <v>-5389.0743474983547</v>
      </c>
      <c r="AF24" s="18">
        <f t="shared" si="25"/>
        <v>-4896.2001125475226</v>
      </c>
      <c r="AG24" s="18">
        <f t="shared" si="26"/>
        <v>-4400.4880137879354</v>
      </c>
      <c r="AH24" s="18">
        <f t="shared" si="27"/>
        <v>-91.515722983794618</v>
      </c>
      <c r="AI24" s="18">
        <f t="shared" si="28"/>
        <v>-228.22124267119554</v>
      </c>
      <c r="AJ24" s="18">
        <f t="shared" si="29"/>
        <v>-526.48034665483942</v>
      </c>
    </row>
    <row r="25" spans="2:36" x14ac:dyDescent="0.4">
      <c r="F25">
        <v>36300</v>
      </c>
      <c r="G25" s="6">
        <f t="shared" si="0"/>
        <v>2.7571058210422104</v>
      </c>
      <c r="H25" s="6">
        <f t="shared" si="1"/>
        <v>2.4465428210782809</v>
      </c>
      <c r="I25" s="6">
        <f t="shared" si="2"/>
        <v>2.1320732659067771</v>
      </c>
      <c r="J25">
        <f t="shared" si="3"/>
        <v>2.7171058210422103</v>
      </c>
      <c r="K25">
        <f t="shared" si="4"/>
        <v>2.4065428210782809</v>
      </c>
      <c r="L25">
        <f t="shared" si="5"/>
        <v>2.0920732659067771</v>
      </c>
      <c r="M25" s="8">
        <f t="shared" si="6"/>
        <v>0.97734063570252316</v>
      </c>
      <c r="N25" s="8">
        <f t="shared" si="7"/>
        <v>0.97312979105298514</v>
      </c>
      <c r="O25" s="8">
        <f t="shared" si="8"/>
        <v>0.96402499136080266</v>
      </c>
      <c r="P25" s="8">
        <f t="shared" si="9"/>
        <v>-2.8580376042320887E-3</v>
      </c>
      <c r="Q25" s="8">
        <f t="shared" si="10"/>
        <v>-7.0688822537701146E-3</v>
      </c>
      <c r="R25" s="8">
        <f t="shared" si="11"/>
        <v>-1.6173681945952589E-2</v>
      </c>
      <c r="S25" s="10">
        <f t="shared" si="12"/>
        <v>5.3955489347042995E-6</v>
      </c>
      <c r="T25" s="10">
        <f t="shared" si="13"/>
        <v>1.2256142364667976E-5</v>
      </c>
      <c r="U25" s="10">
        <f t="shared" si="14"/>
        <v>2.5496053950265104E-5</v>
      </c>
      <c r="V25" s="12">
        <f t="shared" si="15"/>
        <v>354.00196560594907</v>
      </c>
      <c r="W25" s="12">
        <f t="shared" si="16"/>
        <v>784.39311133875049</v>
      </c>
      <c r="X25" s="12">
        <f t="shared" si="17"/>
        <v>1591.2087270360453</v>
      </c>
      <c r="Y25" s="14">
        <f t="shared" si="18"/>
        <v>89.329564122419356</v>
      </c>
      <c r="Z25" s="14">
        <f t="shared" si="19"/>
        <v>79.643565658136481</v>
      </c>
      <c r="AA25" s="14">
        <f t="shared" si="20"/>
        <v>69.957567193853379</v>
      </c>
      <c r="AB25" s="16">
        <f t="shared" si="21"/>
        <v>-7.0982284314657358</v>
      </c>
      <c r="AC25" s="16">
        <f t="shared" si="22"/>
        <v>-6.9822401626812054</v>
      </c>
      <c r="AD25" s="16">
        <f t="shared" si="23"/>
        <v>-6.866251893896675</v>
      </c>
      <c r="AE25" s="18">
        <f t="shared" si="24"/>
        <v>-5388.3073418043905</v>
      </c>
      <c r="AF25" s="18">
        <f t="shared" si="25"/>
        <v>-4894.4830858481837</v>
      </c>
      <c r="AG25" s="18">
        <f t="shared" si="26"/>
        <v>-4396.9684111718834</v>
      </c>
      <c r="AH25" s="18">
        <f t="shared" si="27"/>
        <v>-112.96516158864115</v>
      </c>
      <c r="AI25" s="18">
        <f t="shared" si="28"/>
        <v>-276.24500946521306</v>
      </c>
      <c r="AJ25" s="18">
        <f t="shared" si="29"/>
        <v>-624.93481815661471</v>
      </c>
    </row>
    <row r="26" spans="2:36" x14ac:dyDescent="0.4">
      <c r="F26">
        <v>36400</v>
      </c>
      <c r="G26" s="6">
        <f t="shared" si="0"/>
        <v>2.688329986744963</v>
      </c>
      <c r="H26" s="6">
        <f t="shared" si="1"/>
        <v>2.3777669867810354</v>
      </c>
      <c r="I26" s="6">
        <f t="shared" si="2"/>
        <v>2.0632974316095285</v>
      </c>
      <c r="J26">
        <f t="shared" si="3"/>
        <v>2.648329986744963</v>
      </c>
      <c r="K26">
        <f t="shared" si="4"/>
        <v>2.3377669867810353</v>
      </c>
      <c r="L26">
        <f t="shared" si="5"/>
        <v>2.0232974316095285</v>
      </c>
      <c r="M26" s="8">
        <f t="shared" si="6"/>
        <v>0.97667925070712447</v>
      </c>
      <c r="N26" s="8">
        <f t="shared" si="7"/>
        <v>0.97166220706437167</v>
      </c>
      <c r="O26" s="8">
        <f t="shared" si="8"/>
        <v>0.9610434456013025</v>
      </c>
      <c r="P26" s="8">
        <f t="shared" si="9"/>
        <v>-3.5194225996307837E-3</v>
      </c>
      <c r="Q26" s="8">
        <f t="shared" si="10"/>
        <v>-8.536466242383578E-3</v>
      </c>
      <c r="R26" s="8">
        <f t="shared" si="11"/>
        <v>-1.9155227705452749E-2</v>
      </c>
      <c r="S26" s="10">
        <f t="shared" si="12"/>
        <v>6.5066942901295852E-6</v>
      </c>
      <c r="T26" s="10">
        <f t="shared" si="13"/>
        <v>1.4467795723829219E-5</v>
      </c>
      <c r="U26" s="10">
        <f t="shared" si="14"/>
        <v>2.945294052307675E-5</v>
      </c>
      <c r="V26" s="12">
        <f t="shared" si="15"/>
        <v>426.90421237540204</v>
      </c>
      <c r="W26" s="12">
        <f t="shared" si="16"/>
        <v>925.93892632506993</v>
      </c>
      <c r="X26" s="12">
        <f t="shared" si="17"/>
        <v>1838.1580180452199</v>
      </c>
      <c r="Y26" s="14">
        <f t="shared" si="18"/>
        <v>85.946360045749088</v>
      </c>
      <c r="Z26" s="14">
        <f t="shared" si="19"/>
        <v>76.284975986178097</v>
      </c>
      <c r="AA26" s="14">
        <f t="shared" si="20"/>
        <v>66.623591926606764</v>
      </c>
      <c r="AB26" s="16">
        <f t="shared" si="21"/>
        <v>-8.5598536298313732</v>
      </c>
      <c r="AC26" s="16">
        <f t="shared" si="22"/>
        <v>-8.4192509563349667</v>
      </c>
      <c r="AD26" s="16">
        <f t="shared" si="23"/>
        <v>-8.2786482828385601</v>
      </c>
      <c r="AE26" s="18">
        <f t="shared" si="24"/>
        <v>-5387.3114612345989</v>
      </c>
      <c r="AF26" s="18">
        <f t="shared" si="25"/>
        <v>-4892.3008289672271</v>
      </c>
      <c r="AG26" s="18">
        <f t="shared" si="26"/>
        <v>-4392.5909148610453</v>
      </c>
      <c r="AH26" s="18">
        <f t="shared" si="27"/>
        <v>-138.7553733324921</v>
      </c>
      <c r="AI26" s="18">
        <f t="shared" si="28"/>
        <v>-332.76611212879374</v>
      </c>
      <c r="AJ26" s="18">
        <f t="shared" si="29"/>
        <v>-738.32837934603731</v>
      </c>
    </row>
    <row r="27" spans="2:36" x14ac:dyDescent="0.4">
      <c r="F27">
        <v>36500</v>
      </c>
      <c r="G27" s="6">
        <f t="shared" si="0"/>
        <v>2.6197428381011907</v>
      </c>
      <c r="H27" s="6">
        <f t="shared" si="1"/>
        <v>2.3091798381372608</v>
      </c>
      <c r="I27" s="6">
        <f t="shared" si="2"/>
        <v>1.9947102829657615</v>
      </c>
      <c r="J27">
        <f t="shared" si="3"/>
        <v>2.5797428381011906</v>
      </c>
      <c r="K27">
        <f t="shared" si="4"/>
        <v>2.2691798381372608</v>
      </c>
      <c r="L27">
        <f t="shared" si="5"/>
        <v>1.9547102829657614</v>
      </c>
      <c r="M27" s="8">
        <f t="shared" si="6"/>
        <v>0.97588599045070601</v>
      </c>
      <c r="N27" s="8">
        <f t="shared" si="7"/>
        <v>0.96993912792623849</v>
      </c>
      <c r="O27" s="8">
        <f t="shared" si="8"/>
        <v>0.95761759768399568</v>
      </c>
      <c r="P27" s="8">
        <f t="shared" si="9"/>
        <v>-4.3126828560492436E-3</v>
      </c>
      <c r="Q27" s="8">
        <f t="shared" si="10"/>
        <v>-1.0259545380516766E-2</v>
      </c>
      <c r="R27" s="8">
        <f t="shared" si="11"/>
        <v>-2.2581075622759572E-2</v>
      </c>
      <c r="S27" s="10">
        <f t="shared" si="12"/>
        <v>7.805778772379594E-6</v>
      </c>
      <c r="T27" s="10">
        <f t="shared" si="13"/>
        <v>1.6990550797851049E-5</v>
      </c>
      <c r="U27" s="10">
        <f t="shared" si="14"/>
        <v>3.3850620912711759E-5</v>
      </c>
      <c r="V27" s="12">
        <f t="shared" si="15"/>
        <v>512.1371452558252</v>
      </c>
      <c r="W27" s="12">
        <f t="shared" si="16"/>
        <v>1087.3952510624672</v>
      </c>
      <c r="X27" s="12">
        <f t="shared" si="17"/>
        <v>2112.6172511623408</v>
      </c>
      <c r="Y27" s="14">
        <f t="shared" si="18"/>
        <v>82.316009735756211</v>
      </c>
      <c r="Z27" s="14">
        <f t="shared" si="19"/>
        <v>72.683603447361747</v>
      </c>
      <c r="AA27" s="14">
        <f t="shared" si="20"/>
        <v>63.05119715896717</v>
      </c>
      <c r="AB27" s="16">
        <f t="shared" si="21"/>
        <v>-10.268625061519771</v>
      </c>
      <c r="AC27" s="16">
        <f t="shared" si="22"/>
        <v>-10.099044616846729</v>
      </c>
      <c r="AD27" s="16">
        <f t="shared" si="23"/>
        <v>-9.9294641721736845</v>
      </c>
      <c r="AE27" s="18">
        <f t="shared" si="24"/>
        <v>-5386.0321865929964</v>
      </c>
      <c r="AF27" s="18">
        <f t="shared" si="25"/>
        <v>-4889.5566819962496</v>
      </c>
      <c r="AG27" s="18">
        <f t="shared" si="26"/>
        <v>-4387.2038061126095</v>
      </c>
      <c r="AH27" s="18">
        <f t="shared" si="27"/>
        <v>-169.60313907583767</v>
      </c>
      <c r="AI27" s="18">
        <f t="shared" si="28"/>
        <v>-398.94513068314444</v>
      </c>
      <c r="AJ27" s="18">
        <f t="shared" si="29"/>
        <v>-868.26226333121554</v>
      </c>
    </row>
    <row r="28" spans="2:36" x14ac:dyDescent="0.4">
      <c r="F28">
        <v>36600</v>
      </c>
      <c r="G28" s="6">
        <f t="shared" si="0"/>
        <v>2.5513433426293219</v>
      </c>
      <c r="H28" s="6">
        <f t="shared" si="1"/>
        <v>2.2407803426653956</v>
      </c>
      <c r="I28" s="6">
        <f t="shared" si="2"/>
        <v>1.9263107874938896</v>
      </c>
      <c r="J28">
        <f t="shared" si="3"/>
        <v>2.5113433426293219</v>
      </c>
      <c r="K28">
        <f t="shared" si="4"/>
        <v>2.2007803426653956</v>
      </c>
      <c r="L28">
        <f t="shared" si="5"/>
        <v>1.8863107874938896</v>
      </c>
      <c r="M28" s="8">
        <f t="shared" si="6"/>
        <v>0.97493948819408194</v>
      </c>
      <c r="N28" s="8">
        <f t="shared" si="7"/>
        <v>0.96792643552161028</v>
      </c>
      <c r="O28" s="8">
        <f t="shared" si="8"/>
        <v>0.95370116877672051</v>
      </c>
      <c r="P28" s="8">
        <f t="shared" si="9"/>
        <v>-5.2591851126733147E-3</v>
      </c>
      <c r="Q28" s="8">
        <f t="shared" si="10"/>
        <v>-1.2272237785144968E-2</v>
      </c>
      <c r="R28" s="8">
        <f t="shared" si="11"/>
        <v>-2.6497504530034743E-2</v>
      </c>
      <c r="S28" s="10">
        <f t="shared" si="12"/>
        <v>9.3158213070609924E-6</v>
      </c>
      <c r="T28" s="10">
        <f t="shared" si="13"/>
        <v>1.9851207658345001E-5</v>
      </c>
      <c r="U28" s="10">
        <f t="shared" si="14"/>
        <v>3.8708347472136502E-5</v>
      </c>
      <c r="V28" s="12">
        <f t="shared" si="15"/>
        <v>611.21103595627164</v>
      </c>
      <c r="W28" s="12">
        <f t="shared" si="16"/>
        <v>1270.4772901340802</v>
      </c>
      <c r="X28" s="12">
        <f t="shared" si="17"/>
        <v>2415.787965736039</v>
      </c>
      <c r="Y28" s="14">
        <f t="shared" si="18"/>
        <v>78.408270365808107</v>
      </c>
      <c r="Z28" s="14">
        <f t="shared" si="19"/>
        <v>68.809791789041697</v>
      </c>
      <c r="AA28" s="14">
        <f t="shared" si="20"/>
        <v>59.2113132122754</v>
      </c>
      <c r="AB28" s="16">
        <f t="shared" si="21"/>
        <v>-12.254785553163119</v>
      </c>
      <c r="AC28" s="16">
        <f t="shared" si="22"/>
        <v>-12.051277396862</v>
      </c>
      <c r="AD28" s="16">
        <f t="shared" si="23"/>
        <v>-11.847769240560877</v>
      </c>
      <c r="AE28" s="18">
        <f t="shared" si="24"/>
        <v>-5384.4051259537036</v>
      </c>
      <c r="AF28" s="18">
        <f t="shared" si="25"/>
        <v>-4886.1399015090656</v>
      </c>
      <c r="AG28" s="18">
        <f t="shared" si="26"/>
        <v>-4380.6390435633875</v>
      </c>
      <c r="AH28" s="18">
        <f t="shared" si="27"/>
        <v>-206.30941982982515</v>
      </c>
      <c r="AI28" s="18">
        <f t="shared" si="28"/>
        <v>-476.03604638108396</v>
      </c>
      <c r="AJ28" s="18">
        <f t="shared" si="29"/>
        <v>-1016.3964426193606</v>
      </c>
    </row>
    <row r="29" spans="2:36" x14ac:dyDescent="0.4">
      <c r="F29">
        <v>36700</v>
      </c>
      <c r="G29" s="6">
        <f t="shared" si="0"/>
        <v>2.483130476299221</v>
      </c>
      <c r="H29" s="6">
        <f t="shared" si="1"/>
        <v>2.1725674763352951</v>
      </c>
      <c r="I29" s="6">
        <f t="shared" si="2"/>
        <v>1.8580979211637902</v>
      </c>
      <c r="J29">
        <f t="shared" si="3"/>
        <v>2.443130476299221</v>
      </c>
      <c r="K29">
        <f t="shared" si="4"/>
        <v>2.1325674763352951</v>
      </c>
      <c r="L29">
        <f t="shared" si="5"/>
        <v>1.8180979211637902</v>
      </c>
      <c r="M29" s="8">
        <f t="shared" si="6"/>
        <v>0.97381594419680662</v>
      </c>
      <c r="N29" s="8">
        <f t="shared" si="7"/>
        <v>0.96558739767108026</v>
      </c>
      <c r="O29" s="8">
        <f t="shared" si="8"/>
        <v>0.94924639578721881</v>
      </c>
      <c r="P29" s="8">
        <f t="shared" si="9"/>
        <v>-6.3827291099486372E-3</v>
      </c>
      <c r="Q29" s="8">
        <f t="shared" si="10"/>
        <v>-1.4611275635674992E-2</v>
      </c>
      <c r="R29" s="8">
        <f t="shared" si="11"/>
        <v>-3.0952277519536442E-2</v>
      </c>
      <c r="S29" s="10">
        <f t="shared" si="12"/>
        <v>1.1060963581165028E-5</v>
      </c>
      <c r="T29" s="10">
        <f t="shared" si="13"/>
        <v>2.3075891093585644E-5</v>
      </c>
      <c r="U29" s="10">
        <f t="shared" si="14"/>
        <v>4.4041305566104518E-5</v>
      </c>
      <c r="V29" s="12">
        <f t="shared" si="15"/>
        <v>725.70982056023752</v>
      </c>
      <c r="W29" s="12">
        <f t="shared" si="16"/>
        <v>1476.8570299894811</v>
      </c>
      <c r="X29" s="12">
        <f t="shared" si="17"/>
        <v>2748.6178803805833</v>
      </c>
      <c r="Y29" s="14">
        <f t="shared" si="18"/>
        <v>74.191434100019478</v>
      </c>
      <c r="Z29" s="14">
        <f t="shared" si="19"/>
        <v>64.632462268066206</v>
      </c>
      <c r="AA29" s="14">
        <f t="shared" si="20"/>
        <v>55.073490436113048</v>
      </c>
      <c r="AB29" s="16">
        <f t="shared" si="21"/>
        <v>-14.550042940647131</v>
      </c>
      <c r="AC29" s="16">
        <f t="shared" si="22"/>
        <v>-14.307028039532771</v>
      </c>
      <c r="AD29" s="16">
        <f t="shared" si="23"/>
        <v>-14.06401313841841</v>
      </c>
      <c r="AE29" s="18">
        <f t="shared" si="24"/>
        <v>-5382.3548942842881</v>
      </c>
      <c r="AF29" s="18">
        <f t="shared" si="25"/>
        <v>-4881.9247732318363</v>
      </c>
      <c r="AG29" s="18">
        <f t="shared" si="26"/>
        <v>-4372.7123626439652</v>
      </c>
      <c r="AH29" s="18">
        <f t="shared" si="27"/>
        <v>-249.76272005005734</v>
      </c>
      <c r="AI29" s="18">
        <f t="shared" si="28"/>
        <v>-565.38243212506302</v>
      </c>
      <c r="AJ29" s="18">
        <f t="shared" si="29"/>
        <v>-1184.433294785254</v>
      </c>
    </row>
    <row r="30" spans="2:36" x14ac:dyDescent="0.4">
      <c r="F30">
        <v>36800</v>
      </c>
      <c r="G30" s="6">
        <f t="shared" si="0"/>
        <v>2.4151032234402066</v>
      </c>
      <c r="H30" s="6">
        <f t="shared" si="1"/>
        <v>2.1045402234762749</v>
      </c>
      <c r="I30" s="6">
        <f t="shared" si="2"/>
        <v>1.7900706683047745</v>
      </c>
      <c r="J30">
        <f t="shared" si="3"/>
        <v>2.3751032234402065</v>
      </c>
      <c r="K30">
        <f t="shared" si="4"/>
        <v>2.0645402234762749</v>
      </c>
      <c r="L30">
        <f t="shared" si="5"/>
        <v>1.7500706683047744</v>
      </c>
      <c r="M30" s="8">
        <f t="shared" si="6"/>
        <v>0.97248904270416159</v>
      </c>
      <c r="N30" s="8">
        <f t="shared" si="7"/>
        <v>0.962882802240831</v>
      </c>
      <c r="O30" s="8">
        <f t="shared" si="8"/>
        <v>0.94420452755217488</v>
      </c>
      <c r="P30" s="8">
        <f t="shared" si="9"/>
        <v>-7.7096306025936645E-3</v>
      </c>
      <c r="Q30" s="8">
        <f t="shared" si="10"/>
        <v>-1.7315871065924249E-2</v>
      </c>
      <c r="R30" s="8">
        <f t="shared" si="11"/>
        <v>-3.5994145754580376E-2</v>
      </c>
      <c r="S30" s="10">
        <f t="shared" si="12"/>
        <v>1.3066200828301864E-5</v>
      </c>
      <c r="T30" s="10">
        <f t="shared" si="13"/>
        <v>2.6689449577819351E-5</v>
      </c>
      <c r="U30" s="10">
        <f t="shared" si="14"/>
        <v>4.9859816609305287E-5</v>
      </c>
      <c r="V30" s="12">
        <f t="shared" si="15"/>
        <v>857.27343634488545</v>
      </c>
      <c r="W30" s="12">
        <f t="shared" si="16"/>
        <v>1708.1247729804384</v>
      </c>
      <c r="X30" s="12">
        <f t="shared" si="17"/>
        <v>3111.7511545867428</v>
      </c>
      <c r="Y30" s="14">
        <f t="shared" si="18"/>
        <v>69.632684997582601</v>
      </c>
      <c r="Z30" s="14">
        <f t="shared" si="19"/>
        <v>60.119467023959601</v>
      </c>
      <c r="AA30" s="14">
        <f t="shared" si="20"/>
        <v>50.606249050336373</v>
      </c>
      <c r="AB30" s="16">
        <f t="shared" si="21"/>
        <v>-17.187213164779369</v>
      </c>
      <c r="AC30" s="16">
        <f t="shared" si="22"/>
        <v>-16.898444405334942</v>
      </c>
      <c r="AD30" s="16">
        <f t="shared" si="23"/>
        <v>-16.609675645890515</v>
      </c>
      <c r="AE30" s="18">
        <f t="shared" si="24"/>
        <v>-5379.794000774541</v>
      </c>
      <c r="AF30" s="18">
        <f t="shared" si="25"/>
        <v>-4876.7698928763521</v>
      </c>
      <c r="AG30" s="18">
        <f t="shared" si="26"/>
        <v>-4363.2237479564828</v>
      </c>
      <c r="AH30" s="18">
        <f t="shared" si="27"/>
        <v>-300.94133699243332</v>
      </c>
      <c r="AI30" s="18">
        <f t="shared" si="28"/>
        <v>-668.41136897954561</v>
      </c>
      <c r="AJ30" s="18">
        <f t="shared" si="29"/>
        <v>-1374.0984753820112</v>
      </c>
    </row>
    <row r="31" spans="2:36" x14ac:dyDescent="0.4">
      <c r="F31">
        <v>36900</v>
      </c>
      <c r="G31" s="6">
        <f t="shared" si="0"/>
        <v>2.3472605766503007</v>
      </c>
      <c r="H31" s="6">
        <f t="shared" si="1"/>
        <v>2.0366975766863673</v>
      </c>
      <c r="I31" s="6">
        <f t="shared" si="2"/>
        <v>1.7222280215148655</v>
      </c>
      <c r="J31">
        <f t="shared" si="3"/>
        <v>2.3072605766503007</v>
      </c>
      <c r="K31">
        <f t="shared" si="4"/>
        <v>1.9966975766863673</v>
      </c>
      <c r="L31">
        <f t="shared" si="5"/>
        <v>1.6822280215148655</v>
      </c>
      <c r="M31" s="8">
        <f t="shared" si="6"/>
        <v>0.97092990320955253</v>
      </c>
      <c r="N31" s="8">
        <f t="shared" si="7"/>
        <v>0.9597711577301562</v>
      </c>
      <c r="O31" s="8">
        <f t="shared" si="8"/>
        <v>0.93852639876943</v>
      </c>
      <c r="P31" s="8">
        <f t="shared" si="9"/>
        <v>-9.2687700972027276E-3</v>
      </c>
      <c r="Q31" s="8">
        <f t="shared" si="10"/>
        <v>-2.0427515576599053E-2</v>
      </c>
      <c r="R31" s="8">
        <f t="shared" si="11"/>
        <v>-4.1672274537325249E-2</v>
      </c>
      <c r="S31" s="10">
        <f t="shared" si="12"/>
        <v>1.535704749990816E-5</v>
      </c>
      <c r="T31" s="10">
        <f t="shared" si="13"/>
        <v>3.0714799507747873E-5</v>
      </c>
      <c r="U31" s="10">
        <f t="shared" si="14"/>
        <v>5.6168562804951658E-5</v>
      </c>
      <c r="V31" s="12">
        <f t="shared" si="15"/>
        <v>1007.5758864689745</v>
      </c>
      <c r="W31" s="12">
        <f t="shared" si="16"/>
        <v>1965.7471684958637</v>
      </c>
      <c r="X31" s="12">
        <f t="shared" si="17"/>
        <v>3505.4800046570326</v>
      </c>
      <c r="Y31" s="14">
        <f t="shared" si="18"/>
        <v>64.698541998781138</v>
      </c>
      <c r="Z31" s="14">
        <f t="shared" si="19"/>
        <v>55.238027136184201</v>
      </c>
      <c r="AA31" s="14">
        <f t="shared" si="20"/>
        <v>45.777512273587263</v>
      </c>
      <c r="AB31" s="16">
        <f t="shared" si="21"/>
        <v>-20.199777285275935</v>
      </c>
      <c r="AC31" s="16">
        <f t="shared" si="22"/>
        <v>-19.8583054148054</v>
      </c>
      <c r="AD31" s="16">
        <f t="shared" si="23"/>
        <v>-19.516833544334858</v>
      </c>
      <c r="AE31" s="18">
        <f t="shared" si="24"/>
        <v>-5376.6217753883611</v>
      </c>
      <c r="AF31" s="18">
        <f t="shared" si="25"/>
        <v>-4870.5176630506485</v>
      </c>
      <c r="AG31" s="18">
        <f t="shared" si="26"/>
        <v>-4351.9583193058179</v>
      </c>
      <c r="AH31" s="18">
        <f t="shared" si="27"/>
        <v>-360.91426113792068</v>
      </c>
      <c r="AI31" s="18">
        <f t="shared" si="28"/>
        <v>-786.62491958083831</v>
      </c>
      <c r="AJ31" s="18">
        <f t="shared" si="29"/>
        <v>-1587.119133649765</v>
      </c>
    </row>
    <row r="32" spans="2:36" x14ac:dyDescent="0.4">
      <c r="F32">
        <v>37000</v>
      </c>
      <c r="G32" s="6">
        <f t="shared" si="0"/>
        <v>2.2796015367067235</v>
      </c>
      <c r="H32" s="6">
        <f t="shared" si="1"/>
        <v>1.9690385367427978</v>
      </c>
      <c r="I32" s="6">
        <f t="shared" si="2"/>
        <v>1.6545689815712927</v>
      </c>
      <c r="J32">
        <f t="shared" si="3"/>
        <v>2.2396015367067235</v>
      </c>
      <c r="K32">
        <f t="shared" si="4"/>
        <v>1.9290385367427978</v>
      </c>
      <c r="L32">
        <f t="shared" si="5"/>
        <v>1.6145689815712927</v>
      </c>
      <c r="M32" s="8">
        <f t="shared" si="6"/>
        <v>0.9691070726324964</v>
      </c>
      <c r="N32" s="8">
        <f t="shared" si="7"/>
        <v>0.95620896459956461</v>
      </c>
      <c r="O32" s="8">
        <f t="shared" si="8"/>
        <v>0.93216307680448063</v>
      </c>
      <c r="P32" s="8">
        <f t="shared" si="9"/>
        <v>-1.109160067425885E-2</v>
      </c>
      <c r="Q32" s="8">
        <f t="shared" si="10"/>
        <v>-2.3989708707190638E-2</v>
      </c>
      <c r="R32" s="8">
        <f t="shared" si="11"/>
        <v>-4.8035596502274625E-2</v>
      </c>
      <c r="S32" s="10">
        <f t="shared" si="12"/>
        <v>1.7959137053172195E-5</v>
      </c>
      <c r="T32" s="10">
        <f t="shared" si="13"/>
        <v>3.5172225995804544E-5</v>
      </c>
      <c r="U32" s="10">
        <f t="shared" si="14"/>
        <v>6.2965857897159485E-5</v>
      </c>
      <c r="V32" s="12">
        <f t="shared" si="15"/>
        <v>1178.2989820586276</v>
      </c>
      <c r="W32" s="12">
        <f t="shared" si="16"/>
        <v>2251.0224637314909</v>
      </c>
      <c r="X32" s="12">
        <f t="shared" si="17"/>
        <v>3929.6991913617235</v>
      </c>
      <c r="Y32" s="14">
        <f t="shared" si="18"/>
        <v>59.355389026501825</v>
      </c>
      <c r="Z32" s="14">
        <f t="shared" si="19"/>
        <v>49.95525632043848</v>
      </c>
      <c r="AA32" s="14">
        <f t="shared" si="20"/>
        <v>40.555123614374793</v>
      </c>
      <c r="AB32" s="16">
        <f t="shared" si="21"/>
        <v>-23.621351379250747</v>
      </c>
      <c r="AC32" s="16">
        <f t="shared" si="22"/>
        <v>-23.219497352246762</v>
      </c>
      <c r="AD32" s="16">
        <f t="shared" si="23"/>
        <v>-22.817643325242784</v>
      </c>
      <c r="AE32" s="18">
        <f t="shared" si="24"/>
        <v>-5372.7233707337973</v>
      </c>
      <c r="AF32" s="18">
        <f t="shared" si="25"/>
        <v>-4862.9940549018102</v>
      </c>
      <c r="AG32" s="18">
        <f t="shared" si="26"/>
        <v>-4338.6876643621399</v>
      </c>
      <c r="AH32" s="18">
        <f t="shared" si="27"/>
        <v>-430.8404948541276</v>
      </c>
      <c r="AI32" s="18">
        <f t="shared" si="28"/>
        <v>-921.58903665566152</v>
      </c>
      <c r="AJ32" s="18">
        <f t="shared" si="29"/>
        <v>-1825.1996963215822</v>
      </c>
    </row>
    <row r="33" spans="6:36" x14ac:dyDescent="0.4">
      <c r="F33">
        <v>37100</v>
      </c>
      <c r="G33" s="6">
        <f t="shared" si="0"/>
        <v>2.2121251124776009</v>
      </c>
      <c r="H33" s="6">
        <f t="shared" si="1"/>
        <v>1.9015621125136692</v>
      </c>
      <c r="I33" s="6">
        <f t="shared" si="2"/>
        <v>1.5870925573421686</v>
      </c>
      <c r="J33">
        <f t="shared" si="3"/>
        <v>2.1721251124776009</v>
      </c>
      <c r="K33">
        <f t="shared" si="4"/>
        <v>1.8615621125136692</v>
      </c>
      <c r="L33">
        <f t="shared" si="5"/>
        <v>1.5470925573421686</v>
      </c>
      <c r="M33" s="8">
        <f t="shared" si="6"/>
        <v>0.96698656490065604</v>
      </c>
      <c r="N33" s="8">
        <f t="shared" si="7"/>
        <v>0.9521510601456511</v>
      </c>
      <c r="O33" s="8">
        <f t="shared" si="8"/>
        <v>0.92506657394236258</v>
      </c>
      <c r="P33" s="8">
        <f t="shared" si="9"/>
        <v>-1.321210840609921E-2</v>
      </c>
      <c r="Q33" s="8">
        <f t="shared" si="10"/>
        <v>-2.8047613161104157E-2</v>
      </c>
      <c r="R33" s="8">
        <f t="shared" si="11"/>
        <v>-5.5132099364392673E-2</v>
      </c>
      <c r="S33" s="10">
        <f t="shared" si="12"/>
        <v>2.0897757151901923E-5</v>
      </c>
      <c r="T33" s="10">
        <f t="shared" si="13"/>
        <v>4.0078654371915579E-5</v>
      </c>
      <c r="U33" s="10">
        <f t="shared" si="14"/>
        <v>7.0242989241035126E-5</v>
      </c>
      <c r="V33" s="12">
        <f t="shared" si="15"/>
        <v>1371.1018467362851</v>
      </c>
      <c r="W33" s="12">
        <f t="shared" si="16"/>
        <v>2565.0338798025969</v>
      </c>
      <c r="X33" s="12">
        <f t="shared" si="17"/>
        <v>4383.8649585330022</v>
      </c>
      <c r="Y33" s="14">
        <f t="shared" si="18"/>
        <v>53.570090511503167</v>
      </c>
      <c r="Z33" s="14">
        <f t="shared" si="19"/>
        <v>44.238768528357355</v>
      </c>
      <c r="AA33" s="14">
        <f t="shared" si="20"/>
        <v>34.907446545211656</v>
      </c>
      <c r="AB33" s="16">
        <f t="shared" si="21"/>
        <v>-27.485071015944829</v>
      </c>
      <c r="AC33" s="16">
        <f t="shared" si="22"/>
        <v>-27.014406266023027</v>
      </c>
      <c r="AD33" s="16">
        <f t="shared" si="23"/>
        <v>-26.543741516101225</v>
      </c>
      <c r="AE33" s="18">
        <f t="shared" si="24"/>
        <v>-5367.9688794034673</v>
      </c>
      <c r="AF33" s="18">
        <f t="shared" si="25"/>
        <v>-4854.0086822243884</v>
      </c>
      <c r="AG33" s="18">
        <f t="shared" si="26"/>
        <v>-4323.1716410811259</v>
      </c>
      <c r="AH33" s="18">
        <f t="shared" si="27"/>
        <v>-511.96656666333291</v>
      </c>
      <c r="AI33" s="18">
        <f t="shared" si="28"/>
        <v>-1074.9198421347799</v>
      </c>
      <c r="AJ33" s="18">
        <f t="shared" si="29"/>
        <v>-2089.9955360942367</v>
      </c>
    </row>
    <row r="34" spans="6:36" x14ac:dyDescent="0.4">
      <c r="F34">
        <v>37200</v>
      </c>
      <c r="G34" s="6">
        <f t="shared" si="0"/>
        <v>2.1448303208348123</v>
      </c>
      <c r="H34" s="6">
        <f t="shared" si="1"/>
        <v>1.8342673208708842</v>
      </c>
      <c r="I34" s="6">
        <f t="shared" si="2"/>
        <v>1.5197977656993815</v>
      </c>
      <c r="J34">
        <f t="shared" si="3"/>
        <v>2.1048303208348123</v>
      </c>
      <c r="K34">
        <f t="shared" si="4"/>
        <v>1.7942673208708841</v>
      </c>
      <c r="L34">
        <f t="shared" si="5"/>
        <v>1.4797977656993815</v>
      </c>
      <c r="M34" s="8">
        <f t="shared" si="6"/>
        <v>0.96453195403680758</v>
      </c>
      <c r="N34" s="8">
        <f t="shared" si="7"/>
        <v>0.94755103800614959</v>
      </c>
      <c r="O34" s="8">
        <f t="shared" si="8"/>
        <v>0.91719061509008293</v>
      </c>
      <c r="P34" s="8">
        <f t="shared" si="9"/>
        <v>-1.5666719269947671E-2</v>
      </c>
      <c r="Q34" s="8">
        <f t="shared" si="10"/>
        <v>-3.264763530060566E-2</v>
      </c>
      <c r="R34" s="8">
        <f t="shared" si="11"/>
        <v>-6.3008058216672325E-2</v>
      </c>
      <c r="S34" s="10">
        <f t="shared" si="12"/>
        <v>2.4197323888958485E-5</v>
      </c>
      <c r="T34" s="10">
        <f t="shared" si="13"/>
        <v>4.5446909218799539E-5</v>
      </c>
      <c r="U34" s="10">
        <f t="shared" si="14"/>
        <v>7.7983656635907596E-5</v>
      </c>
      <c r="V34" s="12">
        <f t="shared" si="15"/>
        <v>1587.5864203545661</v>
      </c>
      <c r="W34" s="12">
        <f t="shared" si="16"/>
        <v>2908.602190003171</v>
      </c>
      <c r="X34" s="12">
        <f t="shared" si="17"/>
        <v>4866.9600106469925</v>
      </c>
      <c r="Y34" s="14">
        <f t="shared" si="18"/>
        <v>47.310687597185961</v>
      </c>
      <c r="Z34" s="14">
        <f t="shared" si="19"/>
        <v>38.057364703819076</v>
      </c>
      <c r="AA34" s="14">
        <f t="shared" si="20"/>
        <v>28.80404181045219</v>
      </c>
      <c r="AB34" s="16">
        <f t="shared" si="21"/>
        <v>-31.822895051957314</v>
      </c>
      <c r="AC34" s="16">
        <f t="shared" si="22"/>
        <v>-31.274231212256705</v>
      </c>
      <c r="AD34" s="16">
        <f t="shared" si="23"/>
        <v>-30.725567372556103</v>
      </c>
      <c r="AE34" s="18">
        <f t="shared" si="24"/>
        <v>-5362.2126102222956</v>
      </c>
      <c r="AF34" s="18">
        <f t="shared" si="25"/>
        <v>-4843.3552329934428</v>
      </c>
      <c r="AG34" s="18">
        <f t="shared" si="26"/>
        <v>-4305.1606611781808</v>
      </c>
      <c r="AH34" s="18">
        <f t="shared" si="27"/>
        <v>-605.62203746802084</v>
      </c>
      <c r="AI34" s="18">
        <f t="shared" si="28"/>
        <v>-1248.2672784838921</v>
      </c>
      <c r="AJ34" s="18">
        <f t="shared" si="29"/>
        <v>-2383.0849308563406</v>
      </c>
    </row>
    <row r="35" spans="6:36" x14ac:dyDescent="0.4">
      <c r="F35">
        <v>37300</v>
      </c>
      <c r="G35" s="6">
        <f t="shared" si="0"/>
        <v>2.0777161865680909</v>
      </c>
      <c r="H35" s="6">
        <f t="shared" si="1"/>
        <v>1.7671531866041621</v>
      </c>
      <c r="I35" s="6">
        <f t="shared" si="2"/>
        <v>1.4526836314326592</v>
      </c>
      <c r="J35">
        <f t="shared" si="3"/>
        <v>2.0377161865680908</v>
      </c>
      <c r="K35">
        <f t="shared" si="4"/>
        <v>1.7271531866041621</v>
      </c>
      <c r="L35">
        <f t="shared" si="5"/>
        <v>1.4126836314326592</v>
      </c>
      <c r="M35" s="8">
        <f t="shared" si="6"/>
        <v>0.96170452621034819</v>
      </c>
      <c r="N35" s="8">
        <f t="shared" si="7"/>
        <v>0.94236174142182327</v>
      </c>
      <c r="O35" s="8">
        <f t="shared" si="8"/>
        <v>0.90849144845764118</v>
      </c>
      <c r="P35" s="8">
        <f t="shared" si="9"/>
        <v>-1.8494147096407065E-2</v>
      </c>
      <c r="Q35" s="8">
        <f t="shared" si="10"/>
        <v>-3.7836931884931979E-2</v>
      </c>
      <c r="R35" s="8">
        <f t="shared" si="11"/>
        <v>-7.1707224849114071E-2</v>
      </c>
      <c r="S35" s="10">
        <f t="shared" si="12"/>
        <v>2.7880801134313894E-5</v>
      </c>
      <c r="T35" s="10">
        <f t="shared" si="13"/>
        <v>5.1284980117308472E-5</v>
      </c>
      <c r="U35" s="10">
        <f t="shared" si="14"/>
        <v>8.616353257850309E-5</v>
      </c>
      <c r="V35" s="12">
        <f t="shared" si="15"/>
        <v>1829.2593624223348</v>
      </c>
      <c r="W35" s="12">
        <f t="shared" si="16"/>
        <v>3282.2387275077422</v>
      </c>
      <c r="X35" s="12">
        <f t="shared" si="17"/>
        <v>5377.4660682243766</v>
      </c>
      <c r="Y35" s="14">
        <f t="shared" si="18"/>
        <v>40.547166984142336</v>
      </c>
      <c r="Z35" s="14">
        <f t="shared" si="19"/>
        <v>31.38179070041474</v>
      </c>
      <c r="AA35" s="14">
        <f t="shared" si="20"/>
        <v>22.216414416687144</v>
      </c>
      <c r="AB35" s="16">
        <f t="shared" si="21"/>
        <v>-36.664836786696455</v>
      </c>
      <c r="AC35" s="16">
        <f t="shared" si="22"/>
        <v>-36.0282263373565</v>
      </c>
      <c r="AD35" s="16">
        <f t="shared" si="23"/>
        <v>-35.391615888016545</v>
      </c>
      <c r="AE35" s="18">
        <f t="shared" si="24"/>
        <v>-5355.2925690951361</v>
      </c>
      <c r="AF35" s="18">
        <f t="shared" si="25"/>
        <v>-4830.8122985219261</v>
      </c>
      <c r="AG35" s="18">
        <f t="shared" si="26"/>
        <v>-4284.3984524131392</v>
      </c>
      <c r="AH35" s="18">
        <f t="shared" si="27"/>
        <v>-713.21282331246539</v>
      </c>
      <c r="AI35" s="18">
        <f t="shared" si="28"/>
        <v>-1443.2962073854221</v>
      </c>
      <c r="AJ35" s="18">
        <f t="shared" si="29"/>
        <v>-2705.9398040727456</v>
      </c>
    </row>
    <row r="36" spans="6:36" x14ac:dyDescent="0.4">
      <c r="F36">
        <v>37400</v>
      </c>
      <c r="G36" s="6">
        <f t="shared" si="0"/>
        <v>2.0107817423001824</v>
      </c>
      <c r="H36" s="6">
        <f t="shared" si="1"/>
        <v>1.7002187423362525</v>
      </c>
      <c r="I36" s="6">
        <f t="shared" si="2"/>
        <v>1.3857491871647485</v>
      </c>
      <c r="J36">
        <f t="shared" si="3"/>
        <v>1.9707817423001823</v>
      </c>
      <c r="K36">
        <f t="shared" si="4"/>
        <v>1.6602187423362524</v>
      </c>
      <c r="L36">
        <f t="shared" si="5"/>
        <v>1.3457491871647485</v>
      </c>
      <c r="M36" s="8">
        <f t="shared" si="6"/>
        <v>0.95846349530846564</v>
      </c>
      <c r="N36" s="8">
        <f t="shared" si="7"/>
        <v>0.9365358272383264</v>
      </c>
      <c r="O36" s="8">
        <f t="shared" si="8"/>
        <v>0.89892868445633378</v>
      </c>
      <c r="P36" s="8">
        <f t="shared" si="9"/>
        <v>-2.1735177998289612E-2</v>
      </c>
      <c r="Q36" s="8">
        <f t="shared" si="10"/>
        <v>-4.3662846068428851E-2</v>
      </c>
      <c r="R36" s="8">
        <f t="shared" si="11"/>
        <v>-8.1269988850421471E-2</v>
      </c>
      <c r="S36" s="10">
        <f t="shared" si="12"/>
        <v>3.1969073710724324E-5</v>
      </c>
      <c r="T36" s="10">
        <f t="shared" si="13"/>
        <v>5.7595315175534509E-5</v>
      </c>
      <c r="U36" s="10">
        <f t="shared" si="14"/>
        <v>9.474996682918416E-5</v>
      </c>
      <c r="V36" s="12">
        <f t="shared" si="15"/>
        <v>2097.4909261606231</v>
      </c>
      <c r="W36" s="12">
        <f t="shared" si="16"/>
        <v>3686.1001712342086</v>
      </c>
      <c r="X36" s="12">
        <f t="shared" si="17"/>
        <v>5913.3454298093839</v>
      </c>
      <c r="Y36" s="14">
        <f t="shared" si="18"/>
        <v>33.25229094243457</v>
      </c>
      <c r="Z36" s="14">
        <f t="shared" si="19"/>
        <v>24.185554983463476</v>
      </c>
      <c r="AA36" s="14">
        <f t="shared" si="20"/>
        <v>15.118819024492609</v>
      </c>
      <c r="AB36" s="16">
        <f t="shared" si="21"/>
        <v>-42.038133950099621</v>
      </c>
      <c r="AC36" s="16">
        <f t="shared" si="22"/>
        <v>-41.302883176002979</v>
      </c>
      <c r="AD36" s="16">
        <f t="shared" si="23"/>
        <v>-40.567632401906351</v>
      </c>
      <c r="AE36" s="18">
        <f t="shared" si="24"/>
        <v>-5347.0301911281149</v>
      </c>
      <c r="AF36" s="18">
        <f t="shared" si="25"/>
        <v>-4816.1446336378567</v>
      </c>
      <c r="AG36" s="18">
        <f t="shared" si="26"/>
        <v>-4260.6252825637266</v>
      </c>
      <c r="AH36" s="18">
        <f t="shared" si="27"/>
        <v>-836.21219687168559</v>
      </c>
      <c r="AI36" s="18">
        <f t="shared" si="28"/>
        <v>-1661.6651098412378</v>
      </c>
      <c r="AJ36" s="18">
        <f t="shared" si="29"/>
        <v>-3059.8958122749764</v>
      </c>
    </row>
    <row r="37" spans="6:36" x14ac:dyDescent="0.4">
      <c r="F37">
        <v>37500</v>
      </c>
      <c r="G37" s="6">
        <f t="shared" si="0"/>
        <v>1.9440260284032096</v>
      </c>
      <c r="H37" s="6">
        <f t="shared" si="1"/>
        <v>1.633463028439279</v>
      </c>
      <c r="I37" s="6">
        <f t="shared" si="2"/>
        <v>1.3189934732677739</v>
      </c>
      <c r="J37">
        <f t="shared" si="3"/>
        <v>1.9040260284032096</v>
      </c>
      <c r="K37">
        <f t="shared" si="4"/>
        <v>1.593463028439279</v>
      </c>
      <c r="L37">
        <f t="shared" si="5"/>
        <v>1.2789934732677739</v>
      </c>
      <c r="M37" s="8">
        <f t="shared" si="6"/>
        <v>0.95476628541467923</v>
      </c>
      <c r="N37" s="8">
        <f t="shared" si="7"/>
        <v>0.93002639536062948</v>
      </c>
      <c r="O37" s="8">
        <f t="shared" si="8"/>
        <v>0.88846614605038876</v>
      </c>
      <c r="P37" s="8">
        <f t="shared" si="9"/>
        <v>-2.5432387892076025E-2</v>
      </c>
      <c r="Q37" s="8">
        <f t="shared" si="10"/>
        <v>-5.0172277946125776E-2</v>
      </c>
      <c r="R37" s="8">
        <f t="shared" si="11"/>
        <v>-9.1732527256366492E-2</v>
      </c>
      <c r="S37" s="10">
        <f t="shared" si="12"/>
        <v>3.6480285704178228E-5</v>
      </c>
      <c r="T37" s="10">
        <f t="shared" si="13"/>
        <v>6.4374164733924016E-5</v>
      </c>
      <c r="U37" s="10">
        <f t="shared" si="14"/>
        <v>1.0370185544205437E-4</v>
      </c>
      <c r="V37" s="12">
        <f t="shared" si="15"/>
        <v>2393.4715450511335</v>
      </c>
      <c r="W37" s="12">
        <f t="shared" si="16"/>
        <v>4119.9465429711363</v>
      </c>
      <c r="X37" s="12">
        <f t="shared" si="17"/>
        <v>6472.0327981386126</v>
      </c>
      <c r="Y37" s="14">
        <f t="shared" si="18"/>
        <v>25.402473575882368</v>
      </c>
      <c r="Z37" s="14">
        <f t="shared" si="19"/>
        <v>16.445791350143281</v>
      </c>
      <c r="AA37" s="14">
        <f t="shared" si="20"/>
        <v>7.4891091244041945</v>
      </c>
      <c r="AB37" s="16">
        <f t="shared" si="21"/>
        <v>-47.966372438346951</v>
      </c>
      <c r="AC37" s="16">
        <f t="shared" si="22"/>
        <v>-47.121067931018501</v>
      </c>
      <c r="AD37" s="16">
        <f t="shared" si="23"/>
        <v>-46.275763423690066</v>
      </c>
      <c r="AE37" s="18">
        <f t="shared" si="24"/>
        <v>-5337.2303701779374</v>
      </c>
      <c r="AF37" s="18">
        <f t="shared" si="25"/>
        <v>-4799.1048724553993</v>
      </c>
      <c r="AG37" s="18">
        <f t="shared" si="26"/>
        <v>-4233.5816122156184</v>
      </c>
      <c r="AH37" s="18">
        <f t="shared" si="27"/>
        <v>-976.14937661986733</v>
      </c>
      <c r="AI37" s="18">
        <f t="shared" si="28"/>
        <v>-1905.0026237666486</v>
      </c>
      <c r="AJ37" s="18">
        <f t="shared" si="29"/>
        <v>-3446.1224089616935</v>
      </c>
    </row>
    <row r="38" spans="6:36" x14ac:dyDescent="0.4">
      <c r="F38">
        <v>37600</v>
      </c>
      <c r="G38" s="6">
        <f t="shared" si="0"/>
        <v>1.8774480929161157</v>
      </c>
      <c r="H38" s="6">
        <f t="shared" si="1"/>
        <v>1.5668850929521863</v>
      </c>
      <c r="I38" s="6">
        <f t="shared" si="2"/>
        <v>1.2524155377806825</v>
      </c>
      <c r="J38">
        <f t="shared" si="3"/>
        <v>1.8374480929161157</v>
      </c>
      <c r="K38">
        <f t="shared" si="4"/>
        <v>1.5268850929521862</v>
      </c>
      <c r="L38">
        <f t="shared" si="5"/>
        <v>1.2124155377806825</v>
      </c>
      <c r="M38" s="8">
        <f t="shared" si="6"/>
        <v>0.95056888216327839</v>
      </c>
      <c r="N38" s="8">
        <f t="shared" si="7"/>
        <v>0.9227876760457504</v>
      </c>
      <c r="O38" s="8">
        <f t="shared" si="8"/>
        <v>0.87707271217630078</v>
      </c>
      <c r="P38" s="8">
        <f t="shared" si="9"/>
        <v>-2.9629791143476858E-2</v>
      </c>
      <c r="Q38" s="8">
        <f t="shared" si="10"/>
        <v>-5.7410997261004848E-2</v>
      </c>
      <c r="R38" s="8">
        <f t="shared" si="11"/>
        <v>-0.10312596113045447</v>
      </c>
      <c r="S38" s="10">
        <f t="shared" si="12"/>
        <v>4.1429157722023944E-5</v>
      </c>
      <c r="T38" s="10">
        <f t="shared" si="13"/>
        <v>7.1610998268617862E-5</v>
      </c>
      <c r="U38" s="10">
        <f t="shared" si="14"/>
        <v>1.1296969072951648E-4</v>
      </c>
      <c r="V38" s="12">
        <f t="shared" si="15"/>
        <v>2718.1670381419913</v>
      </c>
      <c r="W38" s="12">
        <f t="shared" si="16"/>
        <v>4583.1038891915441</v>
      </c>
      <c r="X38" s="12">
        <f t="shared" si="17"/>
        <v>7050.4383984291235</v>
      </c>
      <c r="Y38" s="14">
        <f t="shared" si="18"/>
        <v>16.978685108239915</v>
      </c>
      <c r="Z38" s="14">
        <f t="shared" si="19"/>
        <v>8.1441486417038504</v>
      </c>
      <c r="AA38" s="14">
        <f t="shared" si="20"/>
        <v>-0.69038782483198702</v>
      </c>
      <c r="AB38" s="16">
        <f t="shared" si="21"/>
        <v>-54.468582027684846</v>
      </c>
      <c r="AC38" s="16">
        <f t="shared" si="22"/>
        <v>-53.501131761153303</v>
      </c>
      <c r="AD38" s="16">
        <f t="shared" si="23"/>
        <v>-52.533681494621746</v>
      </c>
      <c r="AE38" s="18">
        <f t="shared" si="24"/>
        <v>-5325.6818297760465</v>
      </c>
      <c r="AF38" s="18">
        <f t="shared" si="25"/>
        <v>-4779.4357135923647</v>
      </c>
      <c r="AG38" s="18">
        <f t="shared" si="26"/>
        <v>-4203.0121274192534</v>
      </c>
      <c r="AH38" s="18">
        <f t="shared" si="27"/>
        <v>-1134.5956678997052</v>
      </c>
      <c r="AI38" s="18">
        <f t="shared" si="28"/>
        <v>-2174.8822374987849</v>
      </c>
      <c r="AJ38" s="18">
        <f t="shared" si="29"/>
        <v>-3865.5935621918043</v>
      </c>
    </row>
    <row r="39" spans="6:36" x14ac:dyDescent="0.4">
      <c r="F39">
        <v>37700</v>
      </c>
      <c r="G39" s="6">
        <f t="shared" si="0"/>
        <v>1.8110469914632097</v>
      </c>
      <c r="H39" s="6">
        <f t="shared" si="1"/>
        <v>1.5004839914992829</v>
      </c>
      <c r="I39" s="6">
        <f t="shared" si="2"/>
        <v>1.1860144363277771</v>
      </c>
      <c r="J39">
        <f t="shared" si="3"/>
        <v>1.7710469914632097</v>
      </c>
      <c r="K39">
        <f t="shared" si="4"/>
        <v>1.4604839914992829</v>
      </c>
      <c r="L39">
        <f t="shared" si="5"/>
        <v>1.1460144363277771</v>
      </c>
      <c r="M39" s="8">
        <f t="shared" si="6"/>
        <v>0.94582625329006575</v>
      </c>
      <c r="N39" s="8">
        <f t="shared" si="7"/>
        <v>0.91477576511576586</v>
      </c>
      <c r="O39" s="8">
        <f t="shared" si="8"/>
        <v>0.86472313468876782</v>
      </c>
      <c r="P39" s="8">
        <f t="shared" si="9"/>
        <v>-3.4372420016689498E-2</v>
      </c>
      <c r="Q39" s="8">
        <f t="shared" si="10"/>
        <v>-6.5422908190989393E-2</v>
      </c>
      <c r="R39" s="8">
        <f t="shared" si="11"/>
        <v>-0.11547553861798743</v>
      </c>
      <c r="S39" s="10">
        <f t="shared" si="12"/>
        <v>4.6826299203825902E-5</v>
      </c>
      <c r="T39" s="10">
        <f t="shared" si="13"/>
        <v>7.9288017368396018E-5</v>
      </c>
      <c r="U39" s="10">
        <f t="shared" si="14"/>
        <v>1.2249580409955647E-4</v>
      </c>
      <c r="V39" s="12">
        <f t="shared" si="15"/>
        <v>3072.2734907630174</v>
      </c>
      <c r="W39" s="12">
        <f t="shared" si="16"/>
        <v>5074.4331115773439</v>
      </c>
      <c r="X39" s="12">
        <f t="shared" si="17"/>
        <v>7644.9631338533191</v>
      </c>
      <c r="Y39" s="14">
        <f t="shared" si="18"/>
        <v>7.9673629266795842</v>
      </c>
      <c r="Z39" s="14">
        <f t="shared" si="19"/>
        <v>-0.73231355911900664</v>
      </c>
      <c r="AA39" s="14">
        <f t="shared" si="20"/>
        <v>-9.4319900449177112</v>
      </c>
      <c r="AB39" s="16">
        <f t="shared" si="21"/>
        <v>-61.558325330940377</v>
      </c>
      <c r="AC39" s="16">
        <f t="shared" si="22"/>
        <v>-60.456015083671502</v>
      </c>
      <c r="AD39" s="16">
        <f t="shared" si="23"/>
        <v>-59.353704836402628</v>
      </c>
      <c r="AE39" s="18">
        <f t="shared" si="24"/>
        <v>-5312.1578753396434</v>
      </c>
      <c r="AF39" s="18">
        <f t="shared" si="25"/>
        <v>-4756.8725762818312</v>
      </c>
      <c r="AG39" s="18">
        <f t="shared" si="26"/>
        <v>-4168.6700874630742</v>
      </c>
      <c r="AH39" s="18">
        <f t="shared" si="27"/>
        <v>-1313.1481828284166</v>
      </c>
      <c r="AI39" s="18">
        <f t="shared" si="28"/>
        <v>-2472.7955373876312</v>
      </c>
      <c r="AJ39" s="18">
        <f t="shared" si="29"/>
        <v>-4319.0598329931827</v>
      </c>
    </row>
    <row r="40" spans="6:36" x14ac:dyDescent="0.4">
      <c r="F40">
        <v>37800</v>
      </c>
      <c r="G40" s="6">
        <f t="shared" si="0"/>
        <v>1.7448217871737854</v>
      </c>
      <c r="H40" s="6">
        <f t="shared" si="1"/>
        <v>1.434258787209856</v>
      </c>
      <c r="I40" s="6">
        <f t="shared" si="2"/>
        <v>1.1197892320383525</v>
      </c>
      <c r="J40">
        <f t="shared" si="3"/>
        <v>1.7048217871737854</v>
      </c>
      <c r="K40">
        <f t="shared" si="4"/>
        <v>1.394258787209856</v>
      </c>
      <c r="L40">
        <f t="shared" si="5"/>
        <v>1.0797892320383524</v>
      </c>
      <c r="M40" s="8">
        <f t="shared" si="6"/>
        <v>0.94049283685736884</v>
      </c>
      <c r="N40" s="8">
        <f t="shared" si="7"/>
        <v>0.90594939497765292</v>
      </c>
      <c r="O40" s="8">
        <f t="shared" si="8"/>
        <v>0.85139880867450879</v>
      </c>
      <c r="P40" s="8">
        <f t="shared" si="9"/>
        <v>-3.9705836449386411E-2</v>
      </c>
      <c r="Q40" s="8">
        <f t="shared" si="10"/>
        <v>-7.4249278329102331E-2</v>
      </c>
      <c r="R40" s="8">
        <f t="shared" si="11"/>
        <v>-0.12879986463224646</v>
      </c>
      <c r="S40" s="10">
        <f t="shared" si="12"/>
        <v>5.2677533851951724E-5</v>
      </c>
      <c r="T40" s="10">
        <f t="shared" si="13"/>
        <v>8.7379786676329037E-5</v>
      </c>
      <c r="U40" s="10">
        <f t="shared" si="14"/>
        <v>1.3221480844906682E-4</v>
      </c>
      <c r="V40" s="12">
        <f t="shared" si="15"/>
        <v>3456.1729960265529</v>
      </c>
      <c r="W40" s="12">
        <f t="shared" si="16"/>
        <v>5592.306347285059</v>
      </c>
      <c r="X40" s="12">
        <f t="shared" si="17"/>
        <v>8251.52619530626</v>
      </c>
      <c r="Y40" s="14">
        <f t="shared" si="18"/>
        <v>-1.6386944826108447</v>
      </c>
      <c r="Z40" s="14">
        <f t="shared" si="19"/>
        <v>-10.190246802782895</v>
      </c>
      <c r="AA40" s="14">
        <f t="shared" si="20"/>
        <v>-18.741799122955058</v>
      </c>
      <c r="AB40" s="16">
        <f t="shared" si="21"/>
        <v>-69.242803861926291</v>
      </c>
      <c r="AC40" s="16">
        <f t="shared" si="22"/>
        <v>-67.992369449030818</v>
      </c>
      <c r="AD40" s="16">
        <f t="shared" si="23"/>
        <v>-66.741935036135345</v>
      </c>
      <c r="AE40" s="18">
        <f t="shared" si="24"/>
        <v>-5296.4175616456951</v>
      </c>
      <c r="AF40" s="18">
        <f t="shared" si="25"/>
        <v>-4731.1467150460967</v>
      </c>
      <c r="AG40" s="18">
        <f t="shared" si="26"/>
        <v>-4130.3219081283687</v>
      </c>
      <c r="AH40" s="18">
        <f t="shared" si="27"/>
        <v>-1513.4112346586935</v>
      </c>
      <c r="AI40" s="18">
        <f t="shared" si="28"/>
        <v>-2800.1244816764111</v>
      </c>
      <c r="AJ40" s="18">
        <f t="shared" si="29"/>
        <v>-4807.022531221708</v>
      </c>
    </row>
    <row r="41" spans="6:36" x14ac:dyDescent="0.4">
      <c r="F41">
        <v>37900</v>
      </c>
      <c r="G41" s="6">
        <f t="shared" si="0"/>
        <v>1.6787715506028213</v>
      </c>
      <c r="H41" s="6">
        <f t="shared" si="1"/>
        <v>1.3682085506388912</v>
      </c>
      <c r="I41" s="6">
        <f t="shared" si="2"/>
        <v>1.0537389954673864</v>
      </c>
      <c r="J41">
        <f t="shared" si="3"/>
        <v>1.6387715506028213</v>
      </c>
      <c r="K41">
        <f t="shared" si="4"/>
        <v>1.3282085506388912</v>
      </c>
      <c r="L41">
        <f t="shared" si="5"/>
        <v>1.0137389954673863</v>
      </c>
      <c r="M41" s="8">
        <f t="shared" si="6"/>
        <v>0.93452309364060171</v>
      </c>
      <c r="N41" s="8">
        <f t="shared" si="7"/>
        <v>0.89627072733711421</v>
      </c>
      <c r="O41" s="8">
        <f t="shared" si="8"/>
        <v>0.83708847594954039</v>
      </c>
      <c r="P41" s="8">
        <f t="shared" si="9"/>
        <v>-4.5675579666153543E-2</v>
      </c>
      <c r="Q41" s="8">
        <f t="shared" si="10"/>
        <v>-8.3927945969641038E-2</v>
      </c>
      <c r="R41" s="8">
        <f t="shared" si="11"/>
        <v>-0.14311019735721486</v>
      </c>
      <c r="S41" s="10">
        <f t="shared" si="12"/>
        <v>5.8983257767067586E-5</v>
      </c>
      <c r="T41" s="10">
        <f t="shared" si="13"/>
        <v>9.5853002837694535E-5</v>
      </c>
      <c r="U41" s="10">
        <f t="shared" si="14"/>
        <v>1.4205424098794492E-4</v>
      </c>
      <c r="V41" s="12">
        <f t="shared" si="15"/>
        <v>3869.8915420973044</v>
      </c>
      <c r="W41" s="12">
        <f t="shared" si="16"/>
        <v>6134.5921816124501</v>
      </c>
      <c r="X41" s="12">
        <f t="shared" si="17"/>
        <v>8865.6051800576442</v>
      </c>
      <c r="Y41" s="14">
        <f t="shared" si="18"/>
        <v>-11.839476588622688</v>
      </c>
      <c r="Z41" s="14">
        <f t="shared" si="19"/>
        <v>-20.229178749202333</v>
      </c>
      <c r="AA41" s="14">
        <f t="shared" si="20"/>
        <v>-28.618880909781751</v>
      </c>
      <c r="AB41" s="16">
        <f t="shared" si="21"/>
        <v>-77.522007089633632</v>
      </c>
      <c r="AC41" s="16">
        <f t="shared" si="22"/>
        <v>-76.109722517145599</v>
      </c>
      <c r="AD41" s="16">
        <f t="shared" si="23"/>
        <v>-74.697437944657565</v>
      </c>
      <c r="AE41" s="18">
        <f t="shared" si="24"/>
        <v>-5278.2073017039138</v>
      </c>
      <c r="AF41" s="18">
        <f t="shared" si="25"/>
        <v>-4701.9887658489979</v>
      </c>
      <c r="AG41" s="18">
        <f t="shared" si="26"/>
        <v>-4087.7518874655052</v>
      </c>
      <c r="AH41" s="18">
        <f t="shared" si="27"/>
        <v>-1736.9755749959756</v>
      </c>
      <c r="AI41" s="18">
        <f t="shared" si="28"/>
        <v>-3158.1132381008601</v>
      </c>
      <c r="AJ41" s="18">
        <f t="shared" si="29"/>
        <v>-5329.7106531950885</v>
      </c>
    </row>
    <row r="42" spans="6:36" x14ac:dyDescent="0.4">
      <c r="F42">
        <v>38000</v>
      </c>
      <c r="G42" s="6">
        <f t="shared" si="0"/>
        <v>1.6128953596526943</v>
      </c>
      <c r="H42" s="6">
        <f t="shared" si="1"/>
        <v>1.3023323596887622</v>
      </c>
      <c r="I42" s="6">
        <f t="shared" si="2"/>
        <v>0.98786280451726072</v>
      </c>
      <c r="J42">
        <f t="shared" si="3"/>
        <v>1.5728953596526942</v>
      </c>
      <c r="K42">
        <f t="shared" si="4"/>
        <v>1.2623323596887621</v>
      </c>
      <c r="L42">
        <f t="shared" si="5"/>
        <v>0.94786280451726068</v>
      </c>
      <c r="M42" s="8">
        <f t="shared" si="6"/>
        <v>0.92787211808129022</v>
      </c>
      <c r="N42" s="8">
        <f t="shared" si="7"/>
        <v>0.88570615177658285</v>
      </c>
      <c r="O42" s="8">
        <f t="shared" si="8"/>
        <v>0.82178884215510906</v>
      </c>
      <c r="P42" s="8">
        <f t="shared" si="9"/>
        <v>-5.2326555225465032E-2</v>
      </c>
      <c r="Q42" s="8">
        <f t="shared" si="10"/>
        <v>-9.4492521530172402E-2</v>
      </c>
      <c r="R42" s="8">
        <f t="shared" si="11"/>
        <v>-0.1584098311516462</v>
      </c>
      <c r="S42" s="10">
        <f t="shared" si="12"/>
        <v>6.5737850843493057E-5</v>
      </c>
      <c r="T42" s="10">
        <f t="shared" si="13"/>
        <v>1.0466641878963863E-4</v>
      </c>
      <c r="U42" s="10">
        <f t="shared" si="14"/>
        <v>1.5193540120880645E-4</v>
      </c>
      <c r="V42" s="12">
        <f t="shared" si="15"/>
        <v>4313.0603938415798</v>
      </c>
      <c r="W42" s="12">
        <f t="shared" si="16"/>
        <v>6698.6508025368721</v>
      </c>
      <c r="X42" s="12">
        <f t="shared" si="17"/>
        <v>9482.28838944161</v>
      </c>
      <c r="Y42" s="14">
        <f t="shared" si="18"/>
        <v>-22.626980035819543</v>
      </c>
      <c r="Z42" s="14">
        <f t="shared" si="19"/>
        <v>-30.840748032967781</v>
      </c>
      <c r="AA42" s="14">
        <f t="shared" si="20"/>
        <v>-39.054516030116133</v>
      </c>
      <c r="AB42" s="16">
        <f t="shared" si="21"/>
        <v>-86.387931658525616</v>
      </c>
      <c r="AC42" s="16">
        <f t="shared" si="22"/>
        <v>-84.799712922606375</v>
      </c>
      <c r="AD42" s="16">
        <f t="shared" si="23"/>
        <v>-83.211494186687162</v>
      </c>
      <c r="AE42" s="18">
        <f t="shared" si="24"/>
        <v>-5257.2629335027723</v>
      </c>
      <c r="AF42" s="18">
        <f t="shared" si="25"/>
        <v>-4669.1326813934538</v>
      </c>
      <c r="AG42" s="18">
        <f t="shared" si="26"/>
        <v>-4040.7669699864159</v>
      </c>
      <c r="AH42" s="18">
        <f t="shared" si="27"/>
        <v>-1985.3957169469511</v>
      </c>
      <c r="AI42" s="18">
        <f t="shared" si="28"/>
        <v>-3547.8401760665784</v>
      </c>
      <c r="AJ42" s="18">
        <f t="shared" si="29"/>
        <v>-5887.061270596043</v>
      </c>
    </row>
    <row r="43" spans="6:36" x14ac:dyDescent="0.4">
      <c r="F43">
        <v>38100</v>
      </c>
      <c r="G43" s="6">
        <f t="shared" si="0"/>
        <v>1.547192299495957</v>
      </c>
      <c r="H43" s="6">
        <f t="shared" si="1"/>
        <v>1.2366292995320252</v>
      </c>
      <c r="I43" s="6">
        <f t="shared" si="2"/>
        <v>0.92215974436052461</v>
      </c>
      <c r="J43">
        <f t="shared" si="3"/>
        <v>1.507192299495957</v>
      </c>
      <c r="K43">
        <f t="shared" si="4"/>
        <v>1.1966292995320251</v>
      </c>
      <c r="L43">
        <f t="shared" si="5"/>
        <v>0.88215974436052458</v>
      </c>
      <c r="M43" s="8">
        <f t="shared" si="6"/>
        <v>0.9204963001029125</v>
      </c>
      <c r="N43" s="8">
        <f t="shared" si="7"/>
        <v>0.87422707301438485</v>
      </c>
      <c r="O43" s="8">
        <f t="shared" si="8"/>
        <v>0.8055050891024168</v>
      </c>
      <c r="P43" s="8">
        <f t="shared" si="9"/>
        <v>-5.9702373203842751E-2</v>
      </c>
      <c r="Q43" s="8">
        <f t="shared" si="10"/>
        <v>-0.1059716002923704</v>
      </c>
      <c r="R43" s="8">
        <f t="shared" si="11"/>
        <v>-0.17469358420433845</v>
      </c>
      <c r="S43" s="10">
        <f t="shared" si="12"/>
        <v>7.2929162310938323E-5</v>
      </c>
      <c r="T43" s="10">
        <f t="shared" si="13"/>
        <v>1.1377093721262882E-4</v>
      </c>
      <c r="U43" s="10">
        <f t="shared" si="14"/>
        <v>1.617743724332392E-4</v>
      </c>
      <c r="V43" s="12">
        <f t="shared" si="15"/>
        <v>4784.8823392206632</v>
      </c>
      <c r="W43" s="12">
        <f t="shared" si="16"/>
        <v>7281.3399816082456</v>
      </c>
      <c r="X43" s="12">
        <f t="shared" si="17"/>
        <v>10096.338583558456</v>
      </c>
      <c r="Y43" s="14">
        <f t="shared" si="18"/>
        <v>-33.984525660053464</v>
      </c>
      <c r="Z43" s="14">
        <f t="shared" si="19"/>
        <v>-42.008036231645519</v>
      </c>
      <c r="AA43" s="14">
        <f t="shared" si="20"/>
        <v>-50.031546803237461</v>
      </c>
      <c r="AB43" s="16">
        <f t="shared" si="21"/>
        <v>-95.823898404455065</v>
      </c>
      <c r="AC43" s="16">
        <f t="shared" si="22"/>
        <v>-94.04542224297947</v>
      </c>
      <c r="AD43" s="16">
        <f t="shared" si="23"/>
        <v>-92.266946081503818</v>
      </c>
      <c r="AE43" s="18">
        <f t="shared" si="24"/>
        <v>-5233.3122497860841</v>
      </c>
      <c r="AF43" s="18">
        <f t="shared" si="25"/>
        <v>-4632.3199980260188</v>
      </c>
      <c r="AG43" s="18">
        <f t="shared" si="26"/>
        <v>-3989.2014367660963</v>
      </c>
      <c r="AH43" s="18">
        <f t="shared" si="27"/>
        <v>-2260.1656613545647</v>
      </c>
      <c r="AI43" s="18">
        <f t="shared" si="28"/>
        <v>-3970.1906431870643</v>
      </c>
      <c r="AJ43" s="18">
        <f t="shared" si="29"/>
        <v>-6478.7039829570667</v>
      </c>
    </row>
    <row r="44" spans="6:36" x14ac:dyDescent="0.4">
      <c r="F44">
        <v>38200</v>
      </c>
      <c r="G44" s="6">
        <f t="shared" ref="G44:G75" si="30">(LN($C$13/$F44)+(sigma2^2/2))*(TimeofExpiration2)/(sigma2*SQRT(TimeofExpiration2))</f>
        <v>1.4816614624990985</v>
      </c>
      <c r="H44" s="6">
        <f t="shared" ref="H44:H75" si="31">(LN($D$13/$F44)+(sigma2^2/2))*(TimeofExpiration2)/(sigma2*SQRT(TimeofExpiration2))</f>
        <v>1.1710984625351699</v>
      </c>
      <c r="I44" s="6">
        <f t="shared" ref="I44:I75" si="32">(LN($E$13/$F44)+(sigma2^2/2))*(TimeofExpiration2)/(sigma2*SQRT(TimeofExpiration2))</f>
        <v>0.85662890736366737</v>
      </c>
      <c r="J44">
        <f t="shared" ref="J44:J75" si="33">$G44-sigma2*SQRT(TimeofExpiration2)</f>
        <v>1.4416614624990984</v>
      </c>
      <c r="K44">
        <f t="shared" ref="K44:K75" si="34">$H44-sigma2*SQRT(TimeofExpiration2)</f>
        <v>1.1310984625351699</v>
      </c>
      <c r="L44">
        <f t="shared" ref="L44:L107" si="35">$I44-sigma2*SQRT(TimeofExpiration2)</f>
        <v>0.81662890736366733</v>
      </c>
      <c r="M44" s="8">
        <f t="shared" ref="M44:M75" si="36">_xlfn.NORM.S.DIST(G44,TRUE)*EXP(-rate2*TimeofExpiration2)</f>
        <v>0.9123540280233744</v>
      </c>
      <c r="N44" s="8">
        <f t="shared" ref="N44:N75" si="37">_xlfn.NORM.S.DIST(H44,TRUE)*EXP(-rate2*TimeofExpiration2)</f>
        <v>0.86181066874453183</v>
      </c>
      <c r="O44" s="8">
        <f t="shared" ref="O44:O75" si="38">_xlfn.NORM.S.DIST(I44,TRUE)*EXP(-rate2*TimeofExpiration2)</f>
        <v>0.78825126587196459</v>
      </c>
      <c r="P44" s="8">
        <f t="shared" ref="P44:P75" si="39">M44-1*EXP(-rate2*TimeofExpiration2)</f>
        <v>-6.7844645283380856E-2</v>
      </c>
      <c r="Q44" s="8">
        <f t="shared" ref="Q44:Q75" si="40">N44-1*EXP(-rate2*TimeofExpiration2)</f>
        <v>-0.11838800456222343</v>
      </c>
      <c r="R44" s="8">
        <f t="shared" ref="R44:R75" si="41">O44-1*EXP(-rate2*TimeofExpiration2)</f>
        <v>-0.19194740743479066</v>
      </c>
      <c r="S44" s="10">
        <f t="shared" ref="S44:S75" si="42">(1/(Stock*sigma2*SQRT(TimeofExpiration2)))*_xlfn.NORM.S.DIST($G44,FALSE)*EXP(-rate2*TimeofExpiration2)</f>
        <v>8.0538090933262853E-5</v>
      </c>
      <c r="T44" s="10">
        <f t="shared" ref="T44:T75" si="43">(1/($D$13*sigma2*SQRT(TimeofExpiration2)))*_xlfn.NORM.S.DIST($H44,FALSE)*EXP(-rate2*TimeofExpiration2)</f>
        <v>1.2310988272498796E-4</v>
      </c>
      <c r="U44" s="10">
        <f t="shared" ref="U44:U75" si="44">(1/($E$13*sigma2*SQRT(TimeofExpiration2)))*_xlfn.NORM.S.DIST($I44,FALSE)*EXP(-rate2*TimeofExpiration2)</f>
        <v>1.7148320919991046E-4</v>
      </c>
      <c r="V44" s="12">
        <f t="shared" ref="V44:V75" si="45">Stock*SQRT(TimeofExpiration2)*_xlfn.NORM.S.DIST(G44,FALSE)*EXP(-rate2*TimeofExpiration2)</f>
        <v>5284.1041461313753</v>
      </c>
      <c r="W44" s="12">
        <f t="shared" ref="W44:W75" si="46">$D$13*SQRT(TimeofExpiration2)*_xlfn.NORM.S.DIST($H44,FALSE)*EXP(-rate2*TimeofExpiration2)</f>
        <v>7879.0324943992291</v>
      </c>
      <c r="X44" s="12">
        <f t="shared" ref="X44:X75" si="47">$E$13*SQRT(TimeofExpiration2)*_xlfn.NORM.S.DIST($I44,FALSE)*EXP(-rate2*TimeofExpiration2)</f>
        <v>10702.26708616641</v>
      </c>
      <c r="Y44" s="14">
        <f t="shared" ref="Y44:Y75" si="48">-(C$13*sigma2*_xlfn.NORM.S.DIST($G44,FALSE)/2*SQRT(TimeofExpiration2))*EXP(-rate2*TimeofExpiration2) + rate2* C$13*_xlfn.NORM.S.DIST($G44,TRUE)*EXP(-rate2*TimeofExpiration2) - rate2*$F44*EXP(-rate2*TimeofExpiration2)*_xlfn.NORM.S.DIST($J44,TRUE)*EXP(-rate2*TimeofExpiration2)</f>
        <v>-45.886200449709236</v>
      </c>
      <c r="Z44" s="14">
        <f t="shared" ref="Z44:Z75" si="49">-(D$13*sigma2*_xlfn.NORM.S.DIST($G44,FALSE)/2*SQRT(TimeofExpiration2))*EXP(-rate2*TimeofExpiration2) + rate2* D$13*_xlfn.NORM.S.DIST($G44,TRUE)*EXP(-rate2*TimeofExpiration2) - rate2*$F44*EXP(-rate2*TimeofExpiration2)*_xlfn.NORM.S.DIST($J44,TRUE)*EXP(-rate2*TimeofExpiration2)</f>
        <v>-53.705023656824096</v>
      </c>
      <c r="AA44" s="14">
        <f t="shared" ref="AA44:AA75" si="50">-(E$13*sigma2*_xlfn.NORM.S.DIST($G44,FALSE)/2*SQRT(TimeofExpiration2))*EXP(-rate2*TimeofExpiration2) + rate2* E$13*_xlfn.NORM.S.DIST($G44,TRUE)*EXP(-rate2*TimeofExpiration2) - rate2*$F44*EXP(-rate2*TimeofExpiration2)*_xlfn.NORM.S.DIST($J44,TRUE)*EXP(-rate2*TimeofExpiration2)</f>
        <v>-61.523846863938957</v>
      </c>
      <c r="AB44" s="16">
        <f t="shared" ref="AB44:AB75" si="51">-(C$13*sigma2*_xlfn.NORM.S.DIST($G44,FALSE)/2*SQRT(TimeofExpiration2))*EXP(-rate2*TimeofExpiration2) - rate2* C$13*_xlfn.NORM.S.DIST(-$G44,TRUE)*EXP(-rate2*TimeofExpiration2) + rate2*$F44*EXP(-rate2*TimeofExpiration2)*_xlfn.NORM.S.DIST(-$J44,TRUE)*EXP(-rate2*TimeofExpiration2)</f>
        <v>-105.80399431580615</v>
      </c>
      <c r="AC44" s="16">
        <f t="shared" ref="AC44:AC75" si="52">-(D$13*sigma2*_xlfn.NORM.S.DIST($G44,FALSE)/2*SQRT(TimeofExpiration2))*EXP(-rate2*TimeofExpiration2) - rate2* D$13*_xlfn.NORM.S.DIST(-$G44,TRUE)*EXP(-rate2*TimeofExpiration2) + rate2*$F44*EXP(-rate2*TimeofExpiration2)*_xlfn.NORM.S.DIST(-$J44,TRUE)*EXP(-rate2*TimeofExpiration2)</f>
        <v>-103.8208307898535</v>
      </c>
      <c r="AD44" s="16">
        <f t="shared" ref="AD44:AD75" si="53">-(E$13*sigma2*_xlfn.NORM.S.DIST($G44,FALSE)/2*SQRT(TimeofExpiration2))*EXP(-rate2*TimeofExpiration2) - rate2* E$13*_xlfn.NORM.S.DIST(-$G44,TRUE)*EXP(-rate2*TimeofExpiration2) + rate2*$F44*EXP(-rate2*TimeofExpiration2)*_xlfn.NORM.S.DIST(-$J44,TRUE)*EXP(-rate2*TimeofExpiration2)</f>
        <v>-101.83766726390083</v>
      </c>
      <c r="AE44" s="18">
        <f t="shared" ref="AE44:AE75" si="54">-TimeofExpiration2*EXP(-rate2*TimeofExpiration2)*(C$13*_xlfn.NORM.S.DIST(G44,TRUE)-Strike*_xlfn.NORM.S.DIST(J44,TRUE))</f>
        <v>-5206.077983301835</v>
      </c>
      <c r="AF44" s="18">
        <f t="shared" ref="AF44:AF75" si="55">-TimeofExpiration2*EXP(-rate2*TimeofExpiration2)*(D$13*_xlfn.NORM.S.DIST(H44,TRUE)-Strike*_xlfn.NORM.S.DIST(K44,TRUE))</f>
        <v>-4591.3043621279849</v>
      </c>
      <c r="AG44" s="18">
        <f t="shared" ref="AG44:AG75" si="56">-TimeofExpiration2*EXP(-rate2*TimeofExpiration2)*(E$13*_xlfn.NORM.S.DIST(I44,TRUE)-Strike*_xlfn.NORM.S.DIST(L44,TRUE))</f>
        <v>-3932.9214037677048</v>
      </c>
      <c r="AH44" s="18">
        <f t="shared" ref="AH44:AH75" si="57">-TimeofExpiration2*EXP(-rate2*TimeofExpiration2)*(-C$13*(1=_xlfn.NORM.S.DIST(G44,TRUE))+Strike*(1-_xlfn.NORM.S.DIST(J44,TRUE)))</f>
        <v>-2562.6934140916037</v>
      </c>
      <c r="AI44" s="18">
        <f t="shared" ref="AI44:AI75" si="58">-TimeofExpiration2*EXP(-rate2*TimeofExpiration2)*(-D$13*(1=_xlfn.NORM.S.DIST(H44,TRUE))+Strike*(1-_xlfn.NORM.S.DIST(K44,TRUE)))</f>
        <v>-4425.8311780831409</v>
      </c>
      <c r="AJ44" s="18">
        <f t="shared" ref="AJ44:AJ75" si="59">-TimeofExpiration2*EXP(-rate2*TimeofExpiration2)*(-E$13*(1=_xlfn.NORM.S.DIST(I44,TRUE))+Strike*(1-_xlfn.NORM.S.DIST(L44,TRUE)))</f>
        <v>-7103.9499675615361</v>
      </c>
    </row>
    <row r="45" spans="6:36" x14ac:dyDescent="0.4">
      <c r="F45">
        <v>38300</v>
      </c>
      <c r="G45" s="6">
        <f t="shared" si="30"/>
        <v>1.4163019481473302</v>
      </c>
      <c r="H45" s="6">
        <f t="shared" si="31"/>
        <v>1.1057389481834026</v>
      </c>
      <c r="I45" s="6">
        <f t="shared" si="32"/>
        <v>0.79126939301189536</v>
      </c>
      <c r="J45">
        <f t="shared" si="33"/>
        <v>1.3763019481473302</v>
      </c>
      <c r="K45">
        <f t="shared" si="34"/>
        <v>1.0657389481834025</v>
      </c>
      <c r="L45">
        <f t="shared" si="35"/>
        <v>0.75126939301189533</v>
      </c>
      <c r="M45" s="8">
        <f t="shared" si="36"/>
        <v>0.90340642085786416</v>
      </c>
      <c r="N45" s="8">
        <f t="shared" si="37"/>
        <v>0.84844059953426432</v>
      </c>
      <c r="O45" s="8">
        <f t="shared" si="38"/>
        <v>0.77005054461021583</v>
      </c>
      <c r="P45" s="8">
        <f t="shared" si="39"/>
        <v>-7.6792252448891096E-2</v>
      </c>
      <c r="Q45" s="8">
        <f t="shared" si="40"/>
        <v>-0.13175807377249094</v>
      </c>
      <c r="R45" s="8">
        <f t="shared" si="41"/>
        <v>-0.21014812869653943</v>
      </c>
      <c r="S45" s="10">
        <f t="shared" si="42"/>
        <v>8.8538279247684111E-5</v>
      </c>
      <c r="T45" s="10">
        <f t="shared" si="43"/>
        <v>1.3261945756225179E-4</v>
      </c>
      <c r="U45" s="10">
        <f t="shared" si="44"/>
        <v>1.8097126695871453E-4</v>
      </c>
      <c r="V45" s="12">
        <f t="shared" si="45"/>
        <v>5808.9965014405543</v>
      </c>
      <c r="W45" s="12">
        <f t="shared" si="46"/>
        <v>8487.6452839841149</v>
      </c>
      <c r="X45" s="12">
        <f t="shared" si="47"/>
        <v>11294.416770893375</v>
      </c>
      <c r="Y45" s="14">
        <f t="shared" si="48"/>
        <v>-58.296450130077574</v>
      </c>
      <c r="Z45" s="14">
        <f t="shared" si="49"/>
        <v>-65.896194214843717</v>
      </c>
      <c r="AA45" s="14">
        <f t="shared" si="50"/>
        <v>-73.495938299609975</v>
      </c>
      <c r="AB45" s="16">
        <f t="shared" si="51"/>
        <v>-116.29266511786979</v>
      </c>
      <c r="AC45" s="16">
        <f t="shared" si="52"/>
        <v>-114.0904224695684</v>
      </c>
      <c r="AD45" s="16">
        <f t="shared" si="53"/>
        <v>-111.888179821267</v>
      </c>
      <c r="AE45" s="18">
        <f t="shared" si="54"/>
        <v>-5175.2812261907429</v>
      </c>
      <c r="AF45" s="18">
        <f t="shared" si="55"/>
        <v>-4545.8562305112819</v>
      </c>
      <c r="AG45" s="18">
        <f t="shared" si="56"/>
        <v>-3871.829009119087</v>
      </c>
      <c r="AH45" s="18">
        <f t="shared" si="57"/>
        <v>-2894.2747471836756</v>
      </c>
      <c r="AI45" s="18">
        <f t="shared" si="58"/>
        <v>-4915.1858148771444</v>
      </c>
      <c r="AJ45" s="18">
        <f t="shared" si="59"/>
        <v>-7761.7860627519958</v>
      </c>
    </row>
    <row r="46" spans="6:36" x14ac:dyDescent="0.4">
      <c r="F46">
        <v>38400</v>
      </c>
      <c r="G46" s="6">
        <f t="shared" si="30"/>
        <v>1.3511128629703071</v>
      </c>
      <c r="H46" s="6">
        <f t="shared" si="31"/>
        <v>1.0405498630063801</v>
      </c>
      <c r="I46" s="6">
        <f t="shared" si="32"/>
        <v>0.72608030783487343</v>
      </c>
      <c r="J46">
        <f t="shared" si="33"/>
        <v>1.311112862970307</v>
      </c>
      <c r="K46">
        <f t="shared" si="34"/>
        <v>1.00054986300638</v>
      </c>
      <c r="L46">
        <f t="shared" si="35"/>
        <v>0.68608030783487339</v>
      </c>
      <c r="M46" s="8">
        <f t="shared" si="36"/>
        <v>0.89361807656565273</v>
      </c>
      <c r="N46" s="8">
        <f t="shared" si="37"/>
        <v>0.83410765237233597</v>
      </c>
      <c r="O46" s="8">
        <f t="shared" si="38"/>
        <v>0.75093532992076872</v>
      </c>
      <c r="P46" s="8">
        <f t="shared" si="39"/>
        <v>-8.6580596741102522E-2</v>
      </c>
      <c r="Q46" s="8">
        <f t="shared" si="40"/>
        <v>-0.14609102093441928</v>
      </c>
      <c r="R46" s="8">
        <f t="shared" si="41"/>
        <v>-0.22926334338598653</v>
      </c>
      <c r="S46" s="10">
        <f t="shared" si="42"/>
        <v>9.6895939335015979E-5</v>
      </c>
      <c r="T46" s="10">
        <f t="shared" si="43"/>
        <v>1.4222938019832533E-4</v>
      </c>
      <c r="U46" s="10">
        <f t="shared" si="44"/>
        <v>1.9014664533703024E-4</v>
      </c>
      <c r="V46" s="12">
        <f t="shared" si="45"/>
        <v>6357.3425797703985</v>
      </c>
      <c r="W46" s="12">
        <f t="shared" si="46"/>
        <v>9102.6803326928202</v>
      </c>
      <c r="X46" s="12">
        <f t="shared" si="47"/>
        <v>11867.052135484055</v>
      </c>
      <c r="Y46" s="14">
        <f t="shared" si="48"/>
        <v>-71.169845566115555</v>
      </c>
      <c r="Z46" s="14">
        <f t="shared" si="49"/>
        <v>-78.536312114544785</v>
      </c>
      <c r="AA46" s="14">
        <f t="shared" si="50"/>
        <v>-85.902778662974129</v>
      </c>
      <c r="AB46" s="16">
        <f t="shared" si="51"/>
        <v>-127.24448167560337</v>
      </c>
      <c r="AC46" s="16">
        <f t="shared" si="52"/>
        <v>-124.80896149096509</v>
      </c>
      <c r="AD46" s="16">
        <f t="shared" si="53"/>
        <v>-122.37344130632681</v>
      </c>
      <c r="AE46" s="18">
        <f t="shared" si="54"/>
        <v>-5140.6452477629582</v>
      </c>
      <c r="AF46" s="18">
        <f t="shared" si="55"/>
        <v>-4495.7676477830182</v>
      </c>
      <c r="AG46" s="18">
        <f t="shared" si="56"/>
        <v>-3805.8661723077398</v>
      </c>
      <c r="AH46" s="18">
        <f t="shared" si="57"/>
        <v>-3256.0667125904538</v>
      </c>
      <c r="AI46" s="18">
        <f t="shared" si="58"/>
        <v>-5438.4151186260124</v>
      </c>
      <c r="AJ46" s="18">
        <f t="shared" si="59"/>
        <v>-8450.8742061738067</v>
      </c>
    </row>
    <row r="47" spans="6:36" x14ac:dyDescent="0.4">
      <c r="F47">
        <v>38500</v>
      </c>
      <c r="G47" s="6">
        <f t="shared" si="30"/>
        <v>1.2860933204688734</v>
      </c>
      <c r="H47" s="6">
        <f t="shared" si="31"/>
        <v>0.97553032050494182</v>
      </c>
      <c r="I47" s="6">
        <f t="shared" si="32"/>
        <v>0.66106076533344127</v>
      </c>
      <c r="J47">
        <f t="shared" si="33"/>
        <v>1.2460933204688733</v>
      </c>
      <c r="K47">
        <f t="shared" si="34"/>
        <v>0.93553032050494178</v>
      </c>
      <c r="L47">
        <f t="shared" si="35"/>
        <v>0.62106076533344123</v>
      </c>
      <c r="M47" s="8">
        <f t="shared" si="36"/>
        <v>0.8829578213295397</v>
      </c>
      <c r="N47" s="8">
        <f t="shared" si="37"/>
        <v>0.81881030013966249</v>
      </c>
      <c r="O47" s="8">
        <f t="shared" si="38"/>
        <v>0.73094721413382657</v>
      </c>
      <c r="P47" s="8">
        <f t="shared" si="39"/>
        <v>-9.7240851977215548E-2</v>
      </c>
      <c r="Q47" s="8">
        <f t="shared" si="40"/>
        <v>-0.16138837316709276</v>
      </c>
      <c r="R47" s="8">
        <f t="shared" si="41"/>
        <v>-0.24925145917292868</v>
      </c>
      <c r="S47" s="10">
        <f t="shared" si="42"/>
        <v>1.0556982497081142E-4</v>
      </c>
      <c r="T47" s="10">
        <f t="shared" si="43"/>
        <v>1.5186370081777417E-4</v>
      </c>
      <c r="U47" s="10">
        <f t="shared" si="44"/>
        <v>1.9891771186831346E-4</v>
      </c>
      <c r="V47" s="12">
        <f t="shared" si="45"/>
        <v>6926.4362163349379</v>
      </c>
      <c r="W47" s="12">
        <f t="shared" si="46"/>
        <v>9719.2768523375471</v>
      </c>
      <c r="X47" s="12">
        <f t="shared" si="47"/>
        <v>12414.454397701444</v>
      </c>
      <c r="Y47" s="14">
        <f t="shared" si="48"/>
        <v>-84.451042707288707</v>
      </c>
      <c r="Z47" s="14">
        <f t="shared" si="49"/>
        <v>-91.570389756057011</v>
      </c>
      <c r="AA47" s="14">
        <f t="shared" si="50"/>
        <v>-98.689736804825316</v>
      </c>
      <c r="AB47" s="16">
        <f t="shared" si="51"/>
        <v>-138.60409993847176</v>
      </c>
      <c r="AC47" s="16">
        <f t="shared" si="52"/>
        <v>-135.92146025417244</v>
      </c>
      <c r="AD47" s="16">
        <f t="shared" si="53"/>
        <v>-133.23882056987313</v>
      </c>
      <c r="AE47" s="18">
        <f t="shared" si="54"/>
        <v>-5101.8996603275509</v>
      </c>
      <c r="AF47" s="18">
        <f t="shared" si="55"/>
        <v>-4440.8569944446554</v>
      </c>
      <c r="AG47" s="18">
        <f t="shared" si="56"/>
        <v>-3735.0178144131587</v>
      </c>
      <c r="AH47" s="18">
        <f t="shared" si="57"/>
        <v>-3649.0614622176258</v>
      </c>
      <c r="AI47" s="18">
        <f t="shared" si="58"/>
        <v>-5995.3985545945889</v>
      </c>
      <c r="AJ47" s="18">
        <f t="shared" si="59"/>
        <v>-9169.5564218634445</v>
      </c>
    </row>
    <row r="48" spans="6:36" x14ac:dyDescent="0.4">
      <c r="F48">
        <v>38600</v>
      </c>
      <c r="G48" s="6">
        <f t="shared" si="30"/>
        <v>1.2212424410427059</v>
      </c>
      <c r="H48" s="6">
        <f t="shared" si="31"/>
        <v>0.91067944107877596</v>
      </c>
      <c r="I48" s="6">
        <f t="shared" si="32"/>
        <v>0.59620988590727719</v>
      </c>
      <c r="J48">
        <f t="shared" si="33"/>
        <v>1.1812424410427058</v>
      </c>
      <c r="K48">
        <f t="shared" si="34"/>
        <v>0.87067944107877593</v>
      </c>
      <c r="L48">
        <f t="shared" si="35"/>
        <v>0.55620988590727716</v>
      </c>
      <c r="M48" s="8">
        <f t="shared" si="36"/>
        <v>0.87139944383670964</v>
      </c>
      <c r="N48" s="8">
        <f t="shared" si="37"/>
        <v>0.80255516051906595</v>
      </c>
      <c r="O48" s="8">
        <f t="shared" si="38"/>
        <v>0.71013677445206536</v>
      </c>
      <c r="P48" s="8">
        <f t="shared" si="39"/>
        <v>-0.10879922947004561</v>
      </c>
      <c r="Q48" s="8">
        <f t="shared" si="40"/>
        <v>-0.17764351278768931</v>
      </c>
      <c r="R48" s="8">
        <f t="shared" si="41"/>
        <v>-0.2700618988546899</v>
      </c>
      <c r="S48" s="10">
        <f t="shared" si="42"/>
        <v>1.1451136167008928E-4</v>
      </c>
      <c r="T48" s="10">
        <f t="shared" si="43"/>
        <v>1.6144178194010239E-4</v>
      </c>
      <c r="U48" s="10">
        <f t="shared" si="44"/>
        <v>2.0719466970900893E-4</v>
      </c>
      <c r="V48" s="12">
        <f t="shared" si="45"/>
        <v>7513.090439174558</v>
      </c>
      <c r="W48" s="12">
        <f t="shared" si="46"/>
        <v>10332.274044166554</v>
      </c>
      <c r="X48" s="12">
        <f t="shared" si="47"/>
        <v>12931.019336539248</v>
      </c>
      <c r="Y48" s="14">
        <f t="shared" si="48"/>
        <v>-98.074951405139018</v>
      </c>
      <c r="Z48" s="14">
        <f t="shared" si="49"/>
        <v>-104.93386178445076</v>
      </c>
      <c r="AA48" s="14">
        <f t="shared" si="50"/>
        <v>-111.79277216376227</v>
      </c>
      <c r="AB48" s="16">
        <f t="shared" si="51"/>
        <v>-150.30642975801732</v>
      </c>
      <c r="AC48" s="16">
        <f t="shared" si="52"/>
        <v>-147.36335340426143</v>
      </c>
      <c r="AD48" s="16">
        <f t="shared" si="53"/>
        <v>-144.42027705050549</v>
      </c>
      <c r="AE48" s="18">
        <f t="shared" si="54"/>
        <v>-5058.7848685138943</v>
      </c>
      <c r="AF48" s="18">
        <f t="shared" si="55"/>
        <v>-4380.9735931350588</v>
      </c>
      <c r="AG48" s="18">
        <f t="shared" si="56"/>
        <v>-3659.3144384865682</v>
      </c>
      <c r="AH48" s="18">
        <f t="shared" si="57"/>
        <v>-4074.0609588635839</v>
      </c>
      <c r="AI48" s="18">
        <f t="shared" si="58"/>
        <v>-6585.7207381088556</v>
      </c>
      <c r="AJ48" s="18">
        <f t="shared" si="59"/>
        <v>-9915.8654133664204</v>
      </c>
    </row>
    <row r="49" spans="6:36" x14ac:dyDescent="0.4">
      <c r="F49">
        <v>38700</v>
      </c>
      <c r="G49" s="6">
        <f t="shared" si="30"/>
        <v>1.1565593519189354</v>
      </c>
      <c r="H49" s="6">
        <f t="shared" si="31"/>
        <v>0.84599635195500233</v>
      </c>
      <c r="I49" s="6">
        <f t="shared" si="32"/>
        <v>0.53152679678350057</v>
      </c>
      <c r="J49">
        <f t="shared" si="33"/>
        <v>1.1165593519189354</v>
      </c>
      <c r="K49">
        <f t="shared" si="34"/>
        <v>0.8059963519550023</v>
      </c>
      <c r="L49">
        <f t="shared" si="35"/>
        <v>0.49152679678350059</v>
      </c>
      <c r="M49" s="8">
        <f t="shared" si="36"/>
        <v>0.85892239781570479</v>
      </c>
      <c r="N49" s="8">
        <f t="shared" si="37"/>
        <v>0.78535733965464749</v>
      </c>
      <c r="O49" s="8">
        <f t="shared" si="38"/>
        <v>0.68856321189404235</v>
      </c>
      <c r="P49" s="8">
        <f t="shared" si="39"/>
        <v>-0.12127627549105047</v>
      </c>
      <c r="Q49" s="8">
        <f t="shared" si="40"/>
        <v>-0.19484133365210776</v>
      </c>
      <c r="R49" s="8">
        <f t="shared" si="41"/>
        <v>-0.2916354614127129</v>
      </c>
      <c r="S49" s="10">
        <f t="shared" si="42"/>
        <v>1.2366494218885667E-4</v>
      </c>
      <c r="T49" s="10">
        <f t="shared" si="43"/>
        <v>1.7087942704020311E-4</v>
      </c>
      <c r="U49" s="10">
        <f t="shared" si="44"/>
        <v>2.1489113066704995E-4</v>
      </c>
      <c r="V49" s="12">
        <f t="shared" si="45"/>
        <v>8113.6568570108857</v>
      </c>
      <c r="W49" s="12">
        <f t="shared" si="46"/>
        <v>10936.283330573</v>
      </c>
      <c r="X49" s="12">
        <f t="shared" si="47"/>
        <v>13411.355464930588</v>
      </c>
      <c r="Y49" s="14">
        <f t="shared" si="48"/>
        <v>-111.96712322993153</v>
      </c>
      <c r="Z49" s="14">
        <f t="shared" si="49"/>
        <v>-118.55297514462916</v>
      </c>
      <c r="AA49" s="14">
        <f t="shared" si="50"/>
        <v>-125.13882705932656</v>
      </c>
      <c r="AB49" s="16">
        <f t="shared" si="51"/>
        <v>-162.2770227045051</v>
      </c>
      <c r="AC49" s="16">
        <f t="shared" si="52"/>
        <v>-159.06088788613511</v>
      </c>
      <c r="AD49" s="16">
        <f t="shared" si="53"/>
        <v>-155.84475306776511</v>
      </c>
      <c r="AE49" s="18">
        <f t="shared" si="54"/>
        <v>-5011.0567242064826</v>
      </c>
      <c r="AF49" s="18">
        <f t="shared" si="55"/>
        <v>-4316.0020573041575</v>
      </c>
      <c r="AG49" s="18">
        <f t="shared" si="56"/>
        <v>-3578.8339827869677</v>
      </c>
      <c r="AH49" s="18">
        <f t="shared" si="57"/>
        <v>-4531.6531784068711</v>
      </c>
      <c r="AI49" s="18">
        <f t="shared" si="58"/>
        <v>-7208.6620368546892</v>
      </c>
      <c r="AJ49" s="18">
        <f t="shared" si="59"/>
        <v>-10687.540678708729</v>
      </c>
    </row>
    <row r="50" spans="6:36" x14ac:dyDescent="0.4">
      <c r="F50">
        <v>38800</v>
      </c>
      <c r="G50" s="6">
        <f t="shared" si="30"/>
        <v>1.0920431870816441</v>
      </c>
      <c r="H50" s="6">
        <f t="shared" si="31"/>
        <v>0.78148018711771094</v>
      </c>
      <c r="I50" s="6">
        <f t="shared" si="32"/>
        <v>0.46701063194620906</v>
      </c>
      <c r="J50">
        <f t="shared" si="33"/>
        <v>1.052043187081644</v>
      </c>
      <c r="K50">
        <f t="shared" si="34"/>
        <v>0.74148018711771091</v>
      </c>
      <c r="L50">
        <f t="shared" si="35"/>
        <v>0.42701063194620908</v>
      </c>
      <c r="M50" s="8">
        <f t="shared" si="36"/>
        <v>0.84551245582472356</v>
      </c>
      <c r="N50" s="8">
        <f t="shared" si="37"/>
        <v>0.76724064817432192</v>
      </c>
      <c r="O50" s="8">
        <f t="shared" si="38"/>
        <v>0.66629383595909342</v>
      </c>
      <c r="P50" s="8">
        <f t="shared" si="39"/>
        <v>-0.13468621748203169</v>
      </c>
      <c r="Q50" s="8">
        <f t="shared" si="40"/>
        <v>-0.21295802513243334</v>
      </c>
      <c r="R50" s="8">
        <f t="shared" si="41"/>
        <v>-0.31390483734766184</v>
      </c>
      <c r="S50" s="10">
        <f t="shared" si="42"/>
        <v>1.3296839059921228E-4</v>
      </c>
      <c r="T50" s="10">
        <f t="shared" si="43"/>
        <v>1.8009013491827416E-4</v>
      </c>
      <c r="U50" s="10">
        <f t="shared" si="44"/>
        <v>2.2192565392712294E-4</v>
      </c>
      <c r="V50" s="12">
        <f t="shared" si="45"/>
        <v>8724.0561072143173</v>
      </c>
      <c r="W50" s="12">
        <f t="shared" si="46"/>
        <v>11525.768634769545</v>
      </c>
      <c r="X50" s="12">
        <f t="shared" si="47"/>
        <v>13850.380061591743</v>
      </c>
      <c r="Y50" s="14">
        <f t="shared" si="48"/>
        <v>-126.04436254861173</v>
      </c>
      <c r="Z50" s="14">
        <f t="shared" si="49"/>
        <v>-132.34539917915174</v>
      </c>
      <c r="AA50" s="14">
        <f t="shared" si="50"/>
        <v>-138.64643580969175</v>
      </c>
      <c r="AB50" s="16">
        <f t="shared" si="51"/>
        <v>-174.4326831448808</v>
      </c>
      <c r="AC50" s="16">
        <f t="shared" si="52"/>
        <v>-170.93173304235324</v>
      </c>
      <c r="AD50" s="16">
        <f t="shared" si="53"/>
        <v>-167.43078293982569</v>
      </c>
      <c r="AE50" s="18">
        <f t="shared" si="54"/>
        <v>-4958.4912973575538</v>
      </c>
      <c r="AF50" s="18">
        <f t="shared" si="55"/>
        <v>-4245.8662669983551</v>
      </c>
      <c r="AG50" s="18">
        <f t="shared" si="56"/>
        <v>-3493.7028764034271</v>
      </c>
      <c r="AH50" s="18">
        <f t="shared" si="57"/>
        <v>-5022.1904021926812</v>
      </c>
      <c r="AI50" s="18">
        <f t="shared" si="58"/>
        <v>-7863.1939057619129</v>
      </c>
      <c r="AJ50" s="18">
        <f t="shared" si="59"/>
        <v>-11482.049921755672</v>
      </c>
    </row>
    <row r="51" spans="6:36" x14ac:dyDescent="0.4">
      <c r="F51">
        <v>38900</v>
      </c>
      <c r="G51" s="6">
        <f t="shared" si="30"/>
        <v>1.0276930872023204</v>
      </c>
      <c r="H51" s="6">
        <f t="shared" si="31"/>
        <v>0.717130087238391</v>
      </c>
      <c r="I51" s="6">
        <f t="shared" si="32"/>
        <v>0.40266053206688768</v>
      </c>
      <c r="J51">
        <f t="shared" si="33"/>
        <v>0.98769308720232041</v>
      </c>
      <c r="K51">
        <f t="shared" si="34"/>
        <v>0.67713008723839097</v>
      </c>
      <c r="L51">
        <f t="shared" si="35"/>
        <v>0.3626605320668877</v>
      </c>
      <c r="M51" s="8">
        <f t="shared" si="36"/>
        <v>0.83116229751571202</v>
      </c>
      <c r="N51" s="8">
        <f t="shared" si="37"/>
        <v>0.74823767994105517</v>
      </c>
      <c r="O51" s="8">
        <f t="shared" si="38"/>
        <v>0.64340340288676168</v>
      </c>
      <c r="P51" s="8">
        <f t="shared" si="39"/>
        <v>-0.14903637579104323</v>
      </c>
      <c r="Q51" s="8">
        <f t="shared" si="40"/>
        <v>-0.23196099336570009</v>
      </c>
      <c r="R51" s="8">
        <f t="shared" si="41"/>
        <v>-0.33679527041999358</v>
      </c>
      <c r="S51" s="10">
        <f t="shared" si="42"/>
        <v>1.4235359325364576E-4</v>
      </c>
      <c r="T51" s="10">
        <f t="shared" si="43"/>
        <v>1.8898645305261933E-4</v>
      </c>
      <c r="U51" s="10">
        <f t="shared" si="44"/>
        <v>2.2822321123543211E-4</v>
      </c>
      <c r="V51" s="12">
        <f t="shared" si="45"/>
        <v>9339.8192533716992</v>
      </c>
      <c r="W51" s="12">
        <f t="shared" si="46"/>
        <v>12095.13299536764</v>
      </c>
      <c r="X51" s="12">
        <f t="shared" si="47"/>
        <v>14243.410613203319</v>
      </c>
      <c r="Y51" s="14">
        <f t="shared" si="48"/>
        <v>-140.21555878944741</v>
      </c>
      <c r="Z51" s="14">
        <f t="shared" si="49"/>
        <v>-146.22105355389544</v>
      </c>
      <c r="AA51" s="14">
        <f t="shared" si="50"/>
        <v>-152.22654831834348</v>
      </c>
      <c r="AB51" s="16">
        <f t="shared" si="51"/>
        <v>-186.68230050741184</v>
      </c>
      <c r="AC51" s="16">
        <f t="shared" si="52"/>
        <v>-182.88580853879236</v>
      </c>
      <c r="AD51" s="16">
        <f t="shared" si="53"/>
        <v>-179.08931657017283</v>
      </c>
      <c r="AE51" s="18">
        <f t="shared" si="54"/>
        <v>-4900.8896630736144</v>
      </c>
      <c r="AF51" s="18">
        <f t="shared" si="55"/>
        <v>-4170.5328605009436</v>
      </c>
      <c r="AG51" s="18">
        <f t="shared" si="56"/>
        <v>-3404.0962463130131</v>
      </c>
      <c r="AH51" s="18">
        <f t="shared" si="57"/>
        <v>-5545.7701794237091</v>
      </c>
      <c r="AI51" s="18">
        <f t="shared" si="58"/>
        <v>-8547.9792285951717</v>
      </c>
      <c r="AJ51" s="18">
        <f t="shared" si="59"/>
        <v>-12296.615398022359</v>
      </c>
    </row>
    <row r="52" spans="6:36" x14ac:dyDescent="0.4">
      <c r="F52">
        <v>39000</v>
      </c>
      <c r="G52" s="6">
        <f t="shared" si="30"/>
        <v>0.96350819957117784</v>
      </c>
      <c r="H52" s="6">
        <f t="shared" si="31"/>
        <v>0.65294519960724462</v>
      </c>
      <c r="I52" s="6">
        <f t="shared" si="32"/>
        <v>0.3384756444357428</v>
      </c>
      <c r="J52">
        <f t="shared" si="33"/>
        <v>0.9235081995711778</v>
      </c>
      <c r="K52">
        <f t="shared" si="34"/>
        <v>0.61294519960724458</v>
      </c>
      <c r="L52">
        <f t="shared" si="35"/>
        <v>0.29847564443574282</v>
      </c>
      <c r="M52" s="8">
        <f t="shared" si="36"/>
        <v>0.81587201633382278</v>
      </c>
      <c r="N52" s="8">
        <f t="shared" si="37"/>
        <v>0.72838974702064596</v>
      </c>
      <c r="O52" s="8">
        <f t="shared" si="38"/>
        <v>0.61997331914678089</v>
      </c>
      <c r="P52" s="8">
        <f t="shared" si="39"/>
        <v>-0.16432665697293247</v>
      </c>
      <c r="Q52" s="8">
        <f t="shared" si="40"/>
        <v>-0.25180892628610929</v>
      </c>
      <c r="R52" s="8">
        <f t="shared" si="41"/>
        <v>-0.36022535415997436</v>
      </c>
      <c r="S52" s="10">
        <f t="shared" si="42"/>
        <v>1.517472899623946E-4</v>
      </c>
      <c r="T52" s="10">
        <f t="shared" si="43"/>
        <v>1.9748139940669126E-4</v>
      </c>
      <c r="U52" s="10">
        <f t="shared" si="44"/>
        <v>2.3371654099630062E-4</v>
      </c>
      <c r="V52" s="12">
        <f t="shared" si="45"/>
        <v>9956.1396944327098</v>
      </c>
      <c r="W52" s="12">
        <f t="shared" si="46"/>
        <v>12638.80956202824</v>
      </c>
      <c r="X52" s="12">
        <f t="shared" si="47"/>
        <v>14586.249323579121</v>
      </c>
      <c r="Y52" s="14">
        <f t="shared" si="48"/>
        <v>-154.38273122523378</v>
      </c>
      <c r="Z52" s="14">
        <f t="shared" si="49"/>
        <v>-160.08314529118115</v>
      </c>
      <c r="AA52" s="14">
        <f t="shared" si="50"/>
        <v>-165.78355935712864</v>
      </c>
      <c r="AB52" s="16">
        <f t="shared" si="51"/>
        <v>-198.92789406489354</v>
      </c>
      <c r="AC52" s="16">
        <f t="shared" si="52"/>
        <v>-194.8263213977734</v>
      </c>
      <c r="AD52" s="16">
        <f t="shared" si="53"/>
        <v>-190.72474873065332</v>
      </c>
      <c r="AE52" s="18">
        <f t="shared" si="54"/>
        <v>-4838.0825979748643</v>
      </c>
      <c r="AF52" s="18">
        <f t="shared" si="55"/>
        <v>-4090.0141383119872</v>
      </c>
      <c r="AG52" s="18">
        <f t="shared" si="56"/>
        <v>-3310.2372464993005</v>
      </c>
      <c r="AH52" s="18">
        <f t="shared" si="57"/>
        <v>-6102.2195021914713</v>
      </c>
      <c r="AI52" s="18">
        <f t="shared" si="58"/>
        <v>-9261.3778232225832</v>
      </c>
      <c r="AJ52" s="18">
        <f t="shared" si="59"/>
        <v>-13128.244705937892</v>
      </c>
    </row>
    <row r="53" spans="6:36" x14ac:dyDescent="0.4">
      <c r="F53">
        <v>39100</v>
      </c>
      <c r="G53" s="6">
        <f t="shared" si="30"/>
        <v>0.89948767802933305</v>
      </c>
      <c r="H53" s="6">
        <f t="shared" si="31"/>
        <v>0.58892467806540694</v>
      </c>
      <c r="I53" s="6">
        <f t="shared" si="32"/>
        <v>0.27445512289390134</v>
      </c>
      <c r="J53">
        <f t="shared" si="33"/>
        <v>0.85948767802933301</v>
      </c>
      <c r="K53">
        <f t="shared" si="34"/>
        <v>0.5489246780654069</v>
      </c>
      <c r="L53">
        <f t="shared" si="35"/>
        <v>0.23445512289390133</v>
      </c>
      <c r="M53" s="8">
        <f t="shared" si="36"/>
        <v>0.79964952985182625</v>
      </c>
      <c r="N53" s="8">
        <f t="shared" si="37"/>
        <v>0.70774666775183992</v>
      </c>
      <c r="O53" s="8">
        <f t="shared" si="38"/>
        <v>0.59609072524644036</v>
      </c>
      <c r="P53" s="8">
        <f t="shared" si="39"/>
        <v>-0.18054914345492901</v>
      </c>
      <c r="Q53" s="8">
        <f t="shared" si="40"/>
        <v>-0.27245200555491533</v>
      </c>
      <c r="R53" s="8">
        <f t="shared" si="41"/>
        <v>-0.3841079480603149</v>
      </c>
      <c r="S53" s="10">
        <f t="shared" si="42"/>
        <v>1.6107201370445793E-4</v>
      </c>
      <c r="T53" s="10">
        <f t="shared" si="43"/>
        <v>2.0548991931698286E-4</v>
      </c>
      <c r="U53" s="10">
        <f t="shared" si="44"/>
        <v>2.3834735667654713E-4</v>
      </c>
      <c r="V53" s="12">
        <f t="shared" si="45"/>
        <v>10567.934819149485</v>
      </c>
      <c r="W53" s="12">
        <f t="shared" si="46"/>
        <v>13151.354836286902</v>
      </c>
      <c r="X53" s="12">
        <f t="shared" si="47"/>
        <v>14875.258530183306</v>
      </c>
      <c r="Y53" s="14">
        <f t="shared" si="48"/>
        <v>-168.44227099283762</v>
      </c>
      <c r="Z53" s="14">
        <f t="shared" si="49"/>
        <v>-173.82939966934373</v>
      </c>
      <c r="AA53" s="14">
        <f t="shared" si="50"/>
        <v>-179.21652834584967</v>
      </c>
      <c r="AB53" s="16">
        <f t="shared" si="51"/>
        <v>-211.06585495419279</v>
      </c>
      <c r="AC53" s="16">
        <f t="shared" si="52"/>
        <v>-206.65099689763133</v>
      </c>
      <c r="AD53" s="16">
        <f t="shared" si="53"/>
        <v>-202.23613884106976</v>
      </c>
      <c r="AE53" s="18">
        <f t="shared" si="54"/>
        <v>-4769.9350743117893</v>
      </c>
      <c r="AF53" s="18">
        <f t="shared" si="55"/>
        <v>-4004.3702872358726</v>
      </c>
      <c r="AG53" s="18">
        <f t="shared" si="56"/>
        <v>-3212.3955026558933</v>
      </c>
      <c r="AH53" s="18">
        <f t="shared" si="57"/>
        <v>-6691.0826810492617</v>
      </c>
      <c r="AI53" s="18">
        <f t="shared" si="58"/>
        <v>-10001.457142898707</v>
      </c>
      <c r="AJ53" s="18">
        <f t="shared" si="59"/>
        <v>-13973.765421157936</v>
      </c>
    </row>
    <row r="54" spans="6:36" x14ac:dyDescent="0.4">
      <c r="F54">
        <v>39200</v>
      </c>
      <c r="G54" s="6">
        <f t="shared" si="30"/>
        <v>0.83563068290191522</v>
      </c>
      <c r="H54" s="6">
        <f t="shared" si="31"/>
        <v>0.52506768293798667</v>
      </c>
      <c r="I54" s="6">
        <f t="shared" si="32"/>
        <v>0.21059812776648415</v>
      </c>
      <c r="J54">
        <f t="shared" si="33"/>
        <v>0.79563068290191519</v>
      </c>
      <c r="K54">
        <f t="shared" si="34"/>
        <v>0.48506768293798669</v>
      </c>
      <c r="L54">
        <f t="shared" si="35"/>
        <v>0.17059812776648414</v>
      </c>
      <c r="M54" s="8">
        <f t="shared" si="36"/>
        <v>0.78251088066386332</v>
      </c>
      <c r="N54" s="8">
        <f t="shared" si="37"/>
        <v>0.6863664083713884</v>
      </c>
      <c r="O54" s="8">
        <f t="shared" si="38"/>
        <v>0.57184747796668367</v>
      </c>
      <c r="P54" s="8">
        <f t="shared" si="39"/>
        <v>-0.19768779264289194</v>
      </c>
      <c r="Q54" s="8">
        <f t="shared" si="40"/>
        <v>-0.29383226493536685</v>
      </c>
      <c r="R54" s="8">
        <f t="shared" si="41"/>
        <v>-0.40835119534007158</v>
      </c>
      <c r="S54" s="10">
        <f t="shared" si="42"/>
        <v>1.7024716236474651E-4</v>
      </c>
      <c r="T54" s="10">
        <f t="shared" si="43"/>
        <v>2.1293034228535412E-4</v>
      </c>
      <c r="U54" s="10">
        <f t="shared" si="44"/>
        <v>2.4206737900143145E-4</v>
      </c>
      <c r="V54" s="12">
        <f t="shared" si="45"/>
        <v>11169.916322751018</v>
      </c>
      <c r="W54" s="12">
        <f t="shared" si="46"/>
        <v>13627.541906262662</v>
      </c>
      <c r="X54" s="12">
        <f t="shared" si="47"/>
        <v>15107.425123479336</v>
      </c>
      <c r="Y54" s="14">
        <f t="shared" si="48"/>
        <v>-182.28635867831889</v>
      </c>
      <c r="Z54" s="14">
        <f t="shared" si="49"/>
        <v>-187.3534634546487</v>
      </c>
      <c r="AA54" s="14">
        <f t="shared" si="50"/>
        <v>-192.42056823097835</v>
      </c>
      <c r="AB54" s="16">
        <f t="shared" si="51"/>
        <v>-222.98836376136944</v>
      </c>
      <c r="AC54" s="16">
        <f t="shared" si="52"/>
        <v>-218.25348180463163</v>
      </c>
      <c r="AD54" s="16">
        <f t="shared" si="53"/>
        <v>-213.51859984789377</v>
      </c>
      <c r="AE54" s="18">
        <f t="shared" si="54"/>
        <v>-4696.3504390073358</v>
      </c>
      <c r="AF54" s="18">
        <f t="shared" si="55"/>
        <v>-3913.7108468906713</v>
      </c>
      <c r="AG54" s="18">
        <f t="shared" si="56"/>
        <v>-3110.8846894298936</v>
      </c>
      <c r="AH54" s="18">
        <f t="shared" si="57"/>
        <v>-7311.613337857304</v>
      </c>
      <c r="AI54" s="18">
        <f t="shared" si="58"/>
        <v>-10766.00807777157</v>
      </c>
      <c r="AJ54" s="18">
        <f t="shared" si="59"/>
        <v>-14829.862875482324</v>
      </c>
    </row>
    <row r="55" spans="6:36" x14ac:dyDescent="0.4">
      <c r="F55">
        <v>39300</v>
      </c>
      <c r="G55" s="6">
        <f t="shared" si="30"/>
        <v>0.77193638093194883</v>
      </c>
      <c r="H55" s="6">
        <f t="shared" si="31"/>
        <v>0.46137338096801855</v>
      </c>
      <c r="I55" s="6">
        <f t="shared" si="32"/>
        <v>0.1469038257965142</v>
      </c>
      <c r="J55">
        <f t="shared" si="33"/>
        <v>0.73193638093194879</v>
      </c>
      <c r="K55">
        <f t="shared" si="34"/>
        <v>0.42137338096801857</v>
      </c>
      <c r="L55">
        <f t="shared" si="35"/>
        <v>0.1069038257965142</v>
      </c>
      <c r="M55" s="8">
        <f t="shared" si="36"/>
        <v>0.76448041693366997</v>
      </c>
      <c r="N55" s="8">
        <f t="shared" si="37"/>
        <v>0.66431458226784812</v>
      </c>
      <c r="O55" s="8">
        <f t="shared" si="38"/>
        <v>0.5473390516385489</v>
      </c>
      <c r="P55" s="8">
        <f t="shared" si="39"/>
        <v>-0.21571825637308528</v>
      </c>
      <c r="Q55" s="8">
        <f t="shared" si="40"/>
        <v>-0.31588409103890713</v>
      </c>
      <c r="R55" s="8">
        <f t="shared" si="41"/>
        <v>-0.43285962166820635</v>
      </c>
      <c r="S55" s="10">
        <f t="shared" si="42"/>
        <v>1.7919018152273179E-4</v>
      </c>
      <c r="T55" s="10">
        <f t="shared" si="43"/>
        <v>2.1972580282126564E-4</v>
      </c>
      <c r="U55" s="10">
        <f t="shared" si="44"/>
        <v>2.4483916650212942E-4</v>
      </c>
      <c r="V55" s="12">
        <f t="shared" si="45"/>
        <v>11756.667809706432</v>
      </c>
      <c r="W55" s="12">
        <f t="shared" si="46"/>
        <v>14062.451380561</v>
      </c>
      <c r="X55" s="12">
        <f t="shared" si="47"/>
        <v>15280.412381397897</v>
      </c>
      <c r="Y55" s="14">
        <f t="shared" si="48"/>
        <v>-195.80452987930119</v>
      </c>
      <c r="Z55" s="14">
        <f t="shared" si="49"/>
        <v>-200.54645310796968</v>
      </c>
      <c r="AA55" s="14">
        <f t="shared" si="50"/>
        <v>-205.28837633663807</v>
      </c>
      <c r="AB55" s="16">
        <f t="shared" si="51"/>
        <v>-234.58495608404712</v>
      </c>
      <c r="AC55" s="16">
        <f t="shared" si="52"/>
        <v>-229.524892579648</v>
      </c>
      <c r="AD55" s="16">
        <f t="shared" si="53"/>
        <v>-224.46482907524893</v>
      </c>
      <c r="AE55" s="18">
        <f t="shared" si="54"/>
        <v>-4617.2741668835306</v>
      </c>
      <c r="AF55" s="18">
        <f t="shared" si="55"/>
        <v>-3818.1953583452455</v>
      </c>
      <c r="AG55" s="18">
        <f t="shared" si="56"/>
        <v>-3006.0592803060713</v>
      </c>
      <c r="AH55" s="18">
        <f t="shared" si="57"/>
        <v>-7962.7708468063283</v>
      </c>
      <c r="AI55" s="18">
        <f t="shared" si="58"/>
        <v>-11552.565633367753</v>
      </c>
      <c r="AJ55" s="18">
        <f t="shared" si="59"/>
        <v>-15693.120306319821</v>
      </c>
    </row>
    <row r="56" spans="6:36" x14ac:dyDescent="0.4">
      <c r="F56">
        <v>39400</v>
      </c>
      <c r="G56" s="6">
        <f t="shared" si="30"/>
        <v>0.70840394521513372</v>
      </c>
      <c r="H56" s="6">
        <f t="shared" si="31"/>
        <v>0.39784094525120267</v>
      </c>
      <c r="I56" s="6">
        <f t="shared" si="32"/>
        <v>8.3371390079702887E-2</v>
      </c>
      <c r="J56">
        <f t="shared" si="33"/>
        <v>0.66840394521513369</v>
      </c>
      <c r="K56">
        <f t="shared" si="34"/>
        <v>0.35784094525120269</v>
      </c>
      <c r="L56">
        <f t="shared" si="35"/>
        <v>4.3371390079702886E-2</v>
      </c>
      <c r="M56" s="8">
        <f t="shared" si="36"/>
        <v>0.74559084425268074</v>
      </c>
      <c r="N56" s="8">
        <f t="shared" si="37"/>
        <v>0.6416638144953235</v>
      </c>
      <c r="O56" s="8">
        <f t="shared" si="38"/>
        <v>0.52266338096989484</v>
      </c>
      <c r="P56" s="8">
        <f t="shared" si="39"/>
        <v>-0.23460782905407451</v>
      </c>
      <c r="Q56" s="8">
        <f t="shared" si="40"/>
        <v>-0.33853485881143175</v>
      </c>
      <c r="R56" s="8">
        <f t="shared" si="41"/>
        <v>-0.45753529233686041</v>
      </c>
      <c r="S56" s="10">
        <f t="shared" si="42"/>
        <v>1.8781783338831407E-4</v>
      </c>
      <c r="T56" s="10">
        <f t="shared" si="43"/>
        <v>2.2580558996427872E-4</v>
      </c>
      <c r="U56" s="10">
        <f t="shared" si="44"/>
        <v>2.4663672484449037E-4</v>
      </c>
      <c r="V56" s="12">
        <f t="shared" si="45"/>
        <v>12322.728048607287</v>
      </c>
      <c r="W56" s="12">
        <f t="shared" si="46"/>
        <v>14451.557757713837</v>
      </c>
      <c r="X56" s="12">
        <f t="shared" si="47"/>
        <v>15392.597997544643</v>
      </c>
      <c r="Y56" s="14">
        <f t="shared" si="48"/>
        <v>-208.8853559428876</v>
      </c>
      <c r="Z56" s="14">
        <f t="shared" si="49"/>
        <v>-213.29861548452379</v>
      </c>
      <c r="AA56" s="14">
        <f t="shared" si="50"/>
        <v>-217.71187502615987</v>
      </c>
      <c r="AB56" s="16">
        <f t="shared" si="51"/>
        <v>-245.74420326932875</v>
      </c>
      <c r="AC56" s="16">
        <f t="shared" si="52"/>
        <v>-240.35547607789732</v>
      </c>
      <c r="AD56" s="16">
        <f t="shared" si="53"/>
        <v>-234.96674888646589</v>
      </c>
      <c r="AE56" s="18">
        <f t="shared" si="54"/>
        <v>-4532.6970829097118</v>
      </c>
      <c r="AF56" s="18">
        <f t="shared" si="55"/>
        <v>-3718.0331542902663</v>
      </c>
      <c r="AG56" s="18">
        <f t="shared" si="56"/>
        <v>-2898.3105322863307</v>
      </c>
      <c r="AH56" s="18">
        <f t="shared" si="57"/>
        <v>-8643.221456412577</v>
      </c>
      <c r="AI56" s="18">
        <f t="shared" si="58"/>
        <v>-12358.43414021376</v>
      </c>
      <c r="AJ56" s="18">
        <f t="shared" si="59"/>
        <v>-16560.060549711918</v>
      </c>
    </row>
    <row r="57" spans="6:36" x14ac:dyDescent="0.4">
      <c r="F57">
        <v>39500</v>
      </c>
      <c r="G57" s="6">
        <f t="shared" si="30"/>
        <v>0.64503255513542956</v>
      </c>
      <c r="H57" s="6">
        <f t="shared" si="31"/>
        <v>0.33446955517150462</v>
      </c>
      <c r="I57" s="6">
        <f t="shared" si="32"/>
        <v>0.02</v>
      </c>
      <c r="J57">
        <f t="shared" si="33"/>
        <v>0.60503255513542953</v>
      </c>
      <c r="K57">
        <f t="shared" si="34"/>
        <v>0.29446955517150464</v>
      </c>
      <c r="L57">
        <f t="shared" si="35"/>
        <v>-0.02</v>
      </c>
      <c r="M57" s="8">
        <f t="shared" si="36"/>
        <v>0.72588314334062609</v>
      </c>
      <c r="N57" s="8">
        <f t="shared" si="37"/>
        <v>0.61849298255584739</v>
      </c>
      <c r="O57" s="8">
        <f t="shared" si="38"/>
        <v>0.49791966917391012</v>
      </c>
      <c r="P57" s="8">
        <f t="shared" si="39"/>
        <v>-0.25431552996612916</v>
      </c>
      <c r="Q57" s="8">
        <f t="shared" si="40"/>
        <v>-0.36170569075090786</v>
      </c>
      <c r="R57" s="8">
        <f t="shared" si="41"/>
        <v>-0.48227900413284513</v>
      </c>
      <c r="S57" s="10">
        <f t="shared" si="42"/>
        <v>1.9604752374780053E-4</v>
      </c>
      <c r="T57" s="10">
        <f t="shared" si="43"/>
        <v>2.3110639175584003E-4</v>
      </c>
      <c r="U57" s="10">
        <f t="shared" si="44"/>
        <v>2.4744588180822361E-4</v>
      </c>
      <c r="V57" s="12">
        <f t="shared" si="45"/>
        <v>12862.678033093192</v>
      </c>
      <c r="W57" s="12">
        <f t="shared" si="46"/>
        <v>14790.809072373761</v>
      </c>
      <c r="X57" s="12">
        <f t="shared" si="47"/>
        <v>15443.097483651236</v>
      </c>
      <c r="Y57" s="14">
        <f t="shared" si="48"/>
        <v>-221.41820277907914</v>
      </c>
      <c r="Z57" s="14">
        <f t="shared" si="49"/>
        <v>-225.50106432777091</v>
      </c>
      <c r="AA57" s="14">
        <f t="shared" si="50"/>
        <v>-229.5839258764629</v>
      </c>
      <c r="AB57" s="16">
        <f t="shared" si="51"/>
        <v>-256.35547122721556</v>
      </c>
      <c r="AC57" s="16">
        <f t="shared" si="52"/>
        <v>-250.63634604283993</v>
      </c>
      <c r="AD57" s="16">
        <f t="shared" si="53"/>
        <v>-244.91722085846425</v>
      </c>
      <c r="AE57" s="18">
        <f t="shared" si="54"/>
        <v>-4442.6579573250765</v>
      </c>
      <c r="AF57" s="18">
        <f t="shared" si="55"/>
        <v>-3613.4822715230534</v>
      </c>
      <c r="AG57" s="18">
        <f t="shared" si="56"/>
        <v>-2788.0617877198661</v>
      </c>
      <c r="AH57" s="18">
        <f t="shared" si="57"/>
        <v>-9351.3442177661545</v>
      </c>
      <c r="AI57" s="18">
        <f t="shared" si="58"/>
        <v>-13180.716535025593</v>
      </c>
      <c r="AJ57" s="18">
        <f t="shared" si="59"/>
        <v>-17427.188421086852</v>
      </c>
    </row>
    <row r="58" spans="6:36" x14ac:dyDescent="0.4">
      <c r="F58">
        <v>39600</v>
      </c>
      <c r="G58" s="6">
        <f t="shared" si="30"/>
        <v>0.58182139630146434</v>
      </c>
      <c r="H58" s="6">
        <f t="shared" si="31"/>
        <v>0.27125839633753768</v>
      </c>
      <c r="I58" s="6">
        <f t="shared" si="32"/>
        <v>-4.3211158833965944E-2</v>
      </c>
      <c r="J58">
        <f t="shared" si="33"/>
        <v>0.54182139630146431</v>
      </c>
      <c r="K58">
        <f t="shared" si="34"/>
        <v>0.23125839633753767</v>
      </c>
      <c r="L58">
        <f t="shared" si="35"/>
        <v>-8.3211158833965945E-2</v>
      </c>
      <c r="M58" s="8">
        <f t="shared" si="36"/>
        <v>0.70540635122984019</v>
      </c>
      <c r="N58" s="8">
        <f t="shared" si="37"/>
        <v>0.59488634754625358</v>
      </c>
      <c r="O58" s="8">
        <f t="shared" si="38"/>
        <v>0.47320718570598963</v>
      </c>
      <c r="P58" s="8">
        <f t="shared" si="39"/>
        <v>-0.27479232207691506</v>
      </c>
      <c r="Q58" s="8">
        <f t="shared" si="40"/>
        <v>-0.38531232576050167</v>
      </c>
      <c r="R58" s="8">
        <f t="shared" si="41"/>
        <v>-0.50699148760076562</v>
      </c>
      <c r="S58" s="10">
        <f t="shared" si="42"/>
        <v>2.0379865638108034E-4</v>
      </c>
      <c r="T58" s="10">
        <f t="shared" si="43"/>
        <v>2.3557340366607484E-4</v>
      </c>
      <c r="U58" s="10">
        <f t="shared" si="44"/>
        <v>2.4726442155173484E-4</v>
      </c>
      <c r="V58" s="12">
        <f t="shared" si="45"/>
        <v>13371.229845162681</v>
      </c>
      <c r="W58" s="12">
        <f t="shared" si="46"/>
        <v>15076.697834628789</v>
      </c>
      <c r="X58" s="12">
        <f t="shared" si="47"/>
        <v>15431.77254904377</v>
      </c>
      <c r="Y58" s="14">
        <f t="shared" si="48"/>
        <v>-233.29502744430022</v>
      </c>
      <c r="Z58" s="14">
        <f t="shared" si="49"/>
        <v>-237.04755272322518</v>
      </c>
      <c r="AA58" s="14">
        <f t="shared" si="50"/>
        <v>-240.80007800215003</v>
      </c>
      <c r="AB58" s="16">
        <f t="shared" si="51"/>
        <v>-266.31071701413214</v>
      </c>
      <c r="AC58" s="16">
        <f t="shared" si="52"/>
        <v>-260.26125555998954</v>
      </c>
      <c r="AD58" s="16">
        <f t="shared" si="53"/>
        <v>-254.21179410584679</v>
      </c>
      <c r="AE58" s="18">
        <f t="shared" si="54"/>
        <v>-4347.2453897553805</v>
      </c>
      <c r="AF58" s="18">
        <f t="shared" si="55"/>
        <v>-3504.8474888634782</v>
      </c>
      <c r="AG58" s="18">
        <f t="shared" si="56"/>
        <v>-2675.7631933041898</v>
      </c>
      <c r="AH58" s="18">
        <f t="shared" si="57"/>
        <v>-10085.241730683287</v>
      </c>
      <c r="AI58" s="18">
        <f t="shared" si="58"/>
        <v>-14016.347152749768</v>
      </c>
      <c r="AJ58" s="18">
        <f t="shared" si="59"/>
        <v>-18291.032923654035</v>
      </c>
    </row>
    <row r="59" spans="6:36" x14ac:dyDescent="0.4">
      <c r="F59">
        <v>39700</v>
      </c>
      <c r="G59" s="6">
        <f t="shared" si="30"/>
        <v>0.51876966048371731</v>
      </c>
      <c r="H59" s="6">
        <f t="shared" si="31"/>
        <v>0.2082066605197897</v>
      </c>
      <c r="I59" s="6">
        <f t="shared" si="32"/>
        <v>-0.10626289465171478</v>
      </c>
      <c r="J59">
        <f t="shared" si="33"/>
        <v>0.47876966048371733</v>
      </c>
      <c r="K59">
        <f t="shared" si="34"/>
        <v>0.16820666051978969</v>
      </c>
      <c r="L59">
        <f t="shared" si="35"/>
        <v>-0.14626289465171477</v>
      </c>
      <c r="M59" s="8">
        <f t="shared" si="36"/>
        <v>0.68421720681871467</v>
      </c>
      <c r="N59" s="8">
        <f t="shared" si="37"/>
        <v>0.57093259246294303</v>
      </c>
      <c r="O59" s="8">
        <f t="shared" si="38"/>
        <v>0.44862407777932473</v>
      </c>
      <c r="P59" s="8">
        <f t="shared" si="39"/>
        <v>-0.29598146648804058</v>
      </c>
      <c r="Q59" s="8">
        <f t="shared" si="40"/>
        <v>-0.40926608084381222</v>
      </c>
      <c r="R59" s="8">
        <f t="shared" si="41"/>
        <v>-0.53157459552743047</v>
      </c>
      <c r="S59" s="10">
        <f t="shared" si="42"/>
        <v>2.1099398294349429E-4</v>
      </c>
      <c r="T59" s="10">
        <f t="shared" si="43"/>
        <v>2.3916127371612908E-4</v>
      </c>
      <c r="U59" s="10">
        <f t="shared" si="44"/>
        <v>2.4610197864006691E-4</v>
      </c>
      <c r="V59" s="12">
        <f t="shared" si="45"/>
        <v>13843.315220922659</v>
      </c>
      <c r="W59" s="12">
        <f t="shared" si="46"/>
        <v>15306.321517832263</v>
      </c>
      <c r="X59" s="12">
        <f t="shared" si="47"/>
        <v>15359.224486926578</v>
      </c>
      <c r="Y59" s="14">
        <f t="shared" si="48"/>
        <v>-244.41217021442361</v>
      </c>
      <c r="Z59" s="14">
        <f t="shared" si="49"/>
        <v>-247.83623975892618</v>
      </c>
      <c r="AA59" s="14">
        <f t="shared" si="50"/>
        <v>-251.2603093034287</v>
      </c>
      <c r="AB59" s="16">
        <f t="shared" si="51"/>
        <v>-275.5062809059508</v>
      </c>
      <c r="AC59" s="16">
        <f t="shared" si="52"/>
        <v>-269.1283637173857</v>
      </c>
      <c r="AD59" s="16">
        <f t="shared" si="53"/>
        <v>-262.7504465288207</v>
      </c>
      <c r="AE59" s="18">
        <f t="shared" si="54"/>
        <v>-4246.5989136474509</v>
      </c>
      <c r="AF59" s="18">
        <f t="shared" si="55"/>
        <v>-3392.477516167914</v>
      </c>
      <c r="AG59" s="18">
        <f t="shared" si="56"/>
        <v>-2561.8859508255314</v>
      </c>
      <c r="AH59" s="18">
        <f t="shared" si="57"/>
        <v>-10842.755603225944</v>
      </c>
      <c r="AI59" s="18">
        <f t="shared" si="58"/>
        <v>-14862.127383386629</v>
      </c>
      <c r="AJ59" s="18">
        <f t="shared" si="59"/>
        <v>-19148.18844427864</v>
      </c>
    </row>
    <row r="60" spans="6:36" x14ac:dyDescent="0.4">
      <c r="F60">
        <v>39800</v>
      </c>
      <c r="G60" s="6">
        <f t="shared" si="30"/>
        <v>0.45587654555253365</v>
      </c>
      <c r="H60" s="6">
        <f t="shared" si="31"/>
        <v>0.14531354558860485</v>
      </c>
      <c r="I60" s="6">
        <f t="shared" si="32"/>
        <v>-0.16915600958289531</v>
      </c>
      <c r="J60">
        <f t="shared" si="33"/>
        <v>0.41587654555253367</v>
      </c>
      <c r="K60">
        <f t="shared" si="34"/>
        <v>0.10531354558860484</v>
      </c>
      <c r="L60">
        <f t="shared" si="35"/>
        <v>-0.20915600958289532</v>
      </c>
      <c r="M60" s="8">
        <f t="shared" si="36"/>
        <v>0.66237966495766132</v>
      </c>
      <c r="N60" s="8">
        <f t="shared" si="37"/>
        <v>0.54672378668074229</v>
      </c>
      <c r="O60" s="8">
        <f t="shared" si="38"/>
        <v>0.42426621902282585</v>
      </c>
      <c r="P60" s="8">
        <f t="shared" si="39"/>
        <v>-0.31781900834909393</v>
      </c>
      <c r="Q60" s="8">
        <f t="shared" si="40"/>
        <v>-0.43347488662601297</v>
      </c>
      <c r="R60" s="8">
        <f t="shared" si="41"/>
        <v>-0.55593245428392946</v>
      </c>
      <c r="S60" s="10">
        <f t="shared" si="42"/>
        <v>2.1756091583944822E-4</v>
      </c>
      <c r="T60" s="10">
        <f t="shared" si="43"/>
        <v>2.4183486163047304E-4</v>
      </c>
      <c r="U60" s="10">
        <f t="shared" si="44"/>
        <v>2.439796989847354E-4</v>
      </c>
      <c r="V60" s="12">
        <f t="shared" si="45"/>
        <v>14274.171688226197</v>
      </c>
      <c r="W60" s="12">
        <f t="shared" si="46"/>
        <v>15477.431144350274</v>
      </c>
      <c r="X60" s="12">
        <f t="shared" si="47"/>
        <v>15226.773013637336</v>
      </c>
      <c r="Y60" s="14">
        <f t="shared" si="48"/>
        <v>-254.67209921112863</v>
      </c>
      <c r="Z60" s="14">
        <f t="shared" si="49"/>
        <v>-257.77140902410622</v>
      </c>
      <c r="AA60" s="14">
        <f t="shared" si="50"/>
        <v>-260.87071883708364</v>
      </c>
      <c r="AB60" s="16">
        <f t="shared" si="51"/>
        <v>-283.84463102435114</v>
      </c>
      <c r="AC60" s="16">
        <f t="shared" si="52"/>
        <v>-277.14195410426117</v>
      </c>
      <c r="AD60" s="16">
        <f t="shared" si="53"/>
        <v>-270.43927718417109</v>
      </c>
      <c r="AE60" s="18">
        <f t="shared" si="54"/>
        <v>-4140.9092700491101</v>
      </c>
      <c r="AF60" s="18">
        <f t="shared" si="55"/>
        <v>-3276.7613821063565</v>
      </c>
      <c r="AG60" s="18">
        <f t="shared" si="56"/>
        <v>-2446.9162251897737</v>
      </c>
      <c r="AH60" s="18">
        <f t="shared" si="57"/>
        <v>-11621.486405000258</v>
      </c>
      <c r="AI60" s="18">
        <f t="shared" si="58"/>
        <v>-15714.763480613103</v>
      </c>
      <c r="AJ60" s="18">
        <f t="shared" si="59"/>
        <v>-19995.354139524585</v>
      </c>
    </row>
    <row r="61" spans="6:36" x14ac:dyDescent="0.4">
      <c r="F61">
        <v>39900</v>
      </c>
      <c r="G61" s="6">
        <f t="shared" si="30"/>
        <v>0.39314125541689482</v>
      </c>
      <c r="H61" s="6">
        <f t="shared" si="31"/>
        <v>8.2578255452961866E-2</v>
      </c>
      <c r="I61" s="6">
        <f t="shared" si="32"/>
        <v>-0.23189129971853964</v>
      </c>
      <c r="J61">
        <f t="shared" si="33"/>
        <v>0.35314125541689484</v>
      </c>
      <c r="K61">
        <f t="shared" si="34"/>
        <v>4.2578255452961865E-2</v>
      </c>
      <c r="L61">
        <f t="shared" si="35"/>
        <v>-0.27189129971853965</v>
      </c>
      <c r="M61" s="8">
        <f t="shared" si="36"/>
        <v>0.63996428643820125</v>
      </c>
      <c r="N61" s="8">
        <f t="shared" si="37"/>
        <v>0.52235429730318816</v>
      </c>
      <c r="O61" s="8">
        <f t="shared" si="38"/>
        <v>0.40022611721116474</v>
      </c>
      <c r="P61" s="8">
        <f t="shared" si="39"/>
        <v>-0.34023438686855401</v>
      </c>
      <c r="Q61" s="8">
        <f t="shared" si="40"/>
        <v>-0.45784437600356709</v>
      </c>
      <c r="R61" s="8">
        <f t="shared" si="41"/>
        <v>-0.57997255609559051</v>
      </c>
      <c r="S61" s="10">
        <f t="shared" si="42"/>
        <v>2.2343277217719583E-4</v>
      </c>
      <c r="T61" s="10">
        <f t="shared" si="43"/>
        <v>2.4356979463463458E-4</v>
      </c>
      <c r="U61" s="10">
        <f t="shared" si="44"/>
        <v>2.4092968111189621E-4</v>
      </c>
      <c r="V61" s="12">
        <f t="shared" si="45"/>
        <v>14659.424182545816</v>
      </c>
      <c r="W61" s="12">
        <f t="shared" si="46"/>
        <v>15588.466856616613</v>
      </c>
      <c r="X61" s="12">
        <f t="shared" si="47"/>
        <v>15036.421398193443</v>
      </c>
      <c r="Y61" s="14">
        <f t="shared" si="48"/>
        <v>-263.98506534735952</v>
      </c>
      <c r="Z61" s="14">
        <f t="shared" si="49"/>
        <v>-266.76509730247096</v>
      </c>
      <c r="AA61" s="14">
        <f t="shared" si="50"/>
        <v>-269.54512925758235</v>
      </c>
      <c r="AB61" s="16">
        <f t="shared" si="51"/>
        <v>-291.23601828227737</v>
      </c>
      <c r="AC61" s="16">
        <f t="shared" si="52"/>
        <v>-284.21406350432125</v>
      </c>
      <c r="AD61" s="16">
        <f t="shared" si="53"/>
        <v>-277.19210872636512</v>
      </c>
      <c r="AE61" s="18">
        <f t="shared" si="54"/>
        <v>-4030.4178194269634</v>
      </c>
      <c r="AF61" s="18">
        <f t="shared" si="55"/>
        <v>-3158.1240890715681</v>
      </c>
      <c r="AG61" s="18">
        <f t="shared" si="56"/>
        <v>-2331.3488424036768</v>
      </c>
      <c r="AH61" s="18">
        <f t="shared" si="57"/>
        <v>-12418.817784416247</v>
      </c>
      <c r="AI61" s="18">
        <f t="shared" si="58"/>
        <v>-16570.905762680475</v>
      </c>
      <c r="AJ61" s="18">
        <f t="shared" si="59"/>
        <v>-20829.370778299104</v>
      </c>
    </row>
    <row r="62" spans="6:36" x14ac:dyDescent="0.4">
      <c r="F62">
        <v>40000</v>
      </c>
      <c r="G62" s="6">
        <f t="shared" si="30"/>
        <v>0.33056299996392774</v>
      </c>
      <c r="H62" s="6">
        <f t="shared" si="31"/>
        <v>0.02</v>
      </c>
      <c r="I62" s="6">
        <f t="shared" si="32"/>
        <v>-0.29446955517150181</v>
      </c>
      <c r="J62">
        <f t="shared" si="33"/>
        <v>0.29056299996392776</v>
      </c>
      <c r="K62">
        <f t="shared" si="34"/>
        <v>-0.02</v>
      </c>
      <c r="L62">
        <f t="shared" si="35"/>
        <v>-0.33446955517150179</v>
      </c>
      <c r="M62" s="8">
        <f t="shared" si="36"/>
        <v>0.61704751429013194</v>
      </c>
      <c r="N62" s="8">
        <f t="shared" si="37"/>
        <v>0.49791966917391012</v>
      </c>
      <c r="O62" s="8">
        <f t="shared" si="38"/>
        <v>0.37659190100073231</v>
      </c>
      <c r="P62" s="8">
        <f t="shared" si="39"/>
        <v>-0.36315115901662331</v>
      </c>
      <c r="Q62" s="8">
        <f t="shared" si="40"/>
        <v>-0.48227900413284513</v>
      </c>
      <c r="R62" s="8">
        <f t="shared" si="41"/>
        <v>-0.603606772306023</v>
      </c>
      <c r="S62" s="10">
        <f t="shared" si="42"/>
        <v>2.2854991847230817E-4</v>
      </c>
      <c r="T62" s="10">
        <f t="shared" si="43"/>
        <v>2.4435280828562082E-4</v>
      </c>
      <c r="U62" s="10">
        <f t="shared" si="44"/>
        <v>2.3699421683021589E-4</v>
      </c>
      <c r="V62" s="12">
        <f t="shared" si="45"/>
        <v>14995.160150968139</v>
      </c>
      <c r="W62" s="12">
        <f t="shared" si="46"/>
        <v>15638.579730279731</v>
      </c>
      <c r="X62" s="12">
        <f t="shared" si="47"/>
        <v>14790.809072373773</v>
      </c>
      <c r="Y62" s="14">
        <f t="shared" si="48"/>
        <v>-272.27062740112063</v>
      </c>
      <c r="Z62" s="14">
        <f t="shared" si="49"/>
        <v>-274.73859386477045</v>
      </c>
      <c r="AA62" s="14">
        <f t="shared" si="50"/>
        <v>-277.20656032842044</v>
      </c>
      <c r="AB62" s="16">
        <f t="shared" si="51"/>
        <v>-297.60000145773398</v>
      </c>
      <c r="AC62" s="16">
        <f t="shared" si="52"/>
        <v>-290.26598118831618</v>
      </c>
      <c r="AD62" s="16">
        <f t="shared" si="53"/>
        <v>-282.9319609188986</v>
      </c>
      <c r="AE62" s="18">
        <f t="shared" si="54"/>
        <v>-3915.415081218353</v>
      </c>
      <c r="AF62" s="18">
        <f t="shared" si="55"/>
        <v>-3037.0216223068237</v>
      </c>
      <c r="AG62" s="18">
        <f t="shared" si="56"/>
        <v>-2215.6809132471144</v>
      </c>
      <c r="AH62" s="18">
        <f t="shared" si="57"/>
        <v>-13231.944318204443</v>
      </c>
      <c r="AI62" s="18">
        <f t="shared" si="58"/>
        <v>-17427.188421086852</v>
      </c>
      <c r="AJ62" s="18">
        <f t="shared" si="59"/>
        <v>-21647.254389454625</v>
      </c>
    </row>
    <row r="63" spans="6:36" x14ac:dyDescent="0.4">
      <c r="F63">
        <v>40100</v>
      </c>
      <c r="G63" s="6">
        <f t="shared" si="30"/>
        <v>0.26814099499924998</v>
      </c>
      <c r="H63" s="6">
        <f t="shared" si="31"/>
        <v>-4.2422004964678864E-2</v>
      </c>
      <c r="I63" s="6">
        <f t="shared" si="32"/>
        <v>-0.35689156013618178</v>
      </c>
      <c r="J63">
        <f t="shared" si="33"/>
        <v>0.22814099499924997</v>
      </c>
      <c r="K63">
        <f t="shared" si="34"/>
        <v>-8.2422004964678858E-2</v>
      </c>
      <c r="L63">
        <f t="shared" si="35"/>
        <v>-0.39689156013618176</v>
      </c>
      <c r="M63" s="8">
        <f t="shared" si="36"/>
        <v>0.59371084955662357</v>
      </c>
      <c r="N63" s="8">
        <f t="shared" si="37"/>
        <v>0.47351549581719293</v>
      </c>
      <c r="O63" s="8">
        <f t="shared" si="38"/>
        <v>0.35344640312893733</v>
      </c>
      <c r="P63" s="8">
        <f t="shared" si="39"/>
        <v>-0.38648782375013169</v>
      </c>
      <c r="Q63" s="8">
        <f t="shared" si="40"/>
        <v>-0.50668317748956238</v>
      </c>
      <c r="R63" s="8">
        <f t="shared" si="41"/>
        <v>-0.62675227017781787</v>
      </c>
      <c r="S63" s="10">
        <f t="shared" si="42"/>
        <v>2.3286078830804581E-4</v>
      </c>
      <c r="T63" s="10">
        <f t="shared" si="43"/>
        <v>2.4418186677261419E-4</v>
      </c>
      <c r="U63" s="10">
        <f t="shared" si="44"/>
        <v>2.3222485523487815E-4</v>
      </c>
      <c r="V63" s="12">
        <f t="shared" si="45"/>
        <v>15277.996320890887</v>
      </c>
      <c r="W63" s="12">
        <f t="shared" si="46"/>
        <v>15627.639473447307</v>
      </c>
      <c r="X63" s="12">
        <f t="shared" si="47"/>
        <v>14493.153215208744</v>
      </c>
      <c r="Y63" s="14">
        <f t="shared" si="48"/>
        <v>-279.45901034317927</v>
      </c>
      <c r="Z63" s="14">
        <f t="shared" si="49"/>
        <v>-281.62377406815517</v>
      </c>
      <c r="AA63" s="14">
        <f t="shared" si="50"/>
        <v>-283.78853779313107</v>
      </c>
      <c r="AB63" s="16">
        <f t="shared" si="51"/>
        <v>-302.86680552148795</v>
      </c>
      <c r="AC63" s="16">
        <f t="shared" si="52"/>
        <v>-295.22958251339634</v>
      </c>
      <c r="AD63" s="16">
        <f t="shared" si="53"/>
        <v>-287.59235950530473</v>
      </c>
      <c r="AE63" s="18">
        <f t="shared" si="54"/>
        <v>-3796.2384124757245</v>
      </c>
      <c r="AF63" s="18">
        <f t="shared" si="55"/>
        <v>-2913.9354164586975</v>
      </c>
      <c r="AG63" s="18">
        <f t="shared" si="56"/>
        <v>-2100.4055174299569</v>
      </c>
      <c r="AH63" s="18">
        <f t="shared" si="57"/>
        <v>-14057.902571168905</v>
      </c>
      <c r="AI63" s="18">
        <f t="shared" si="58"/>
        <v>-18280.269149507418</v>
      </c>
      <c r="AJ63" s="18">
        <f t="shared" si="59"/>
        <v>-22446.226159573365</v>
      </c>
    </row>
    <row r="64" spans="6:36" x14ac:dyDescent="0.4">
      <c r="F64">
        <v>40200</v>
      </c>
      <c r="G64" s="6">
        <f t="shared" si="30"/>
        <v>0.20587446218794975</v>
      </c>
      <c r="H64" s="6">
        <f t="shared" si="31"/>
        <v>-0.10468853777597627</v>
      </c>
      <c r="I64" s="6">
        <f t="shared" si="32"/>
        <v>-0.41915809294747924</v>
      </c>
      <c r="J64">
        <f t="shared" si="33"/>
        <v>0.16587446218794974</v>
      </c>
      <c r="K64">
        <f t="shared" si="34"/>
        <v>-0.14468853777597626</v>
      </c>
      <c r="L64">
        <f t="shared" si="35"/>
        <v>-0.45915809294747922</v>
      </c>
      <c r="M64" s="8">
        <f t="shared" si="36"/>
        <v>0.57003994212560172</v>
      </c>
      <c r="N64" s="8">
        <f t="shared" si="37"/>
        <v>0.4492363034370464</v>
      </c>
      <c r="O64" s="8">
        <f t="shared" si="38"/>
        <v>0.33086635467344444</v>
      </c>
      <c r="P64" s="8">
        <f t="shared" si="39"/>
        <v>-0.41015873118115354</v>
      </c>
      <c r="Q64" s="8">
        <f t="shared" si="40"/>
        <v>-0.53096236986970879</v>
      </c>
      <c r="R64" s="8">
        <f t="shared" si="41"/>
        <v>-0.64933231863331087</v>
      </c>
      <c r="S64" s="10">
        <f t="shared" si="42"/>
        <v>2.3632274857343999E-4</v>
      </c>
      <c r="T64" s="10">
        <f t="shared" si="43"/>
        <v>2.4306606323606282E-4</v>
      </c>
      <c r="U64" s="10">
        <f t="shared" si="44"/>
        <v>2.2668131792032806E-4</v>
      </c>
      <c r="V64" s="12">
        <f t="shared" si="45"/>
        <v>15505.135533903396</v>
      </c>
      <c r="W64" s="12">
        <f t="shared" si="46"/>
        <v>15556.228047108021</v>
      </c>
      <c r="X64" s="12">
        <f t="shared" si="47"/>
        <v>14147.181051407673</v>
      </c>
      <c r="Y64" s="14">
        <f t="shared" si="48"/>
        <v>-285.49226451505564</v>
      </c>
      <c r="Z64" s="14">
        <f t="shared" si="49"/>
        <v>-287.36423540942189</v>
      </c>
      <c r="AA64" s="14">
        <f t="shared" si="50"/>
        <v>-289.23620630378821</v>
      </c>
      <c r="AB64" s="16">
        <f t="shared" si="51"/>
        <v>-306.9784808150597</v>
      </c>
      <c r="AC64" s="16">
        <f t="shared" si="52"/>
        <v>-299.04846497635833</v>
      </c>
      <c r="AD64" s="16">
        <f t="shared" si="53"/>
        <v>-291.11844913765708</v>
      </c>
      <c r="AE64" s="18">
        <f t="shared" si="54"/>
        <v>-3673.268858571977</v>
      </c>
      <c r="AF64" s="18">
        <f t="shared" si="55"/>
        <v>-2789.3663957753852</v>
      </c>
      <c r="AG64" s="18">
        <f t="shared" si="56"/>
        <v>-1986.0055782028583</v>
      </c>
      <c r="AH64" s="18">
        <f t="shared" si="57"/>
        <v>-14893.604768221538</v>
      </c>
      <c r="AI64" s="18">
        <f t="shared" si="58"/>
        <v>-19126.86782402996</v>
      </c>
      <c r="AJ64" s="18">
        <f t="shared" si="59"/>
        <v>-23223.738134338233</v>
      </c>
    </row>
    <row r="65" spans="6:36" x14ac:dyDescent="0.4">
      <c r="F65">
        <v>40300</v>
      </c>
      <c r="G65" s="6">
        <f t="shared" si="30"/>
        <v>0.14376262899640513</v>
      </c>
      <c r="H65" s="6">
        <f t="shared" si="31"/>
        <v>-0.16680037096752384</v>
      </c>
      <c r="I65" s="6">
        <f t="shared" si="32"/>
        <v>-0.48126992613902697</v>
      </c>
      <c r="J65">
        <f t="shared" si="33"/>
        <v>0.10376262899640512</v>
      </c>
      <c r="K65">
        <f t="shared" si="34"/>
        <v>-0.20680037096752385</v>
      </c>
      <c r="L65">
        <f t="shared" si="35"/>
        <v>-0.52126992613902701</v>
      </c>
      <c r="M65" s="8">
        <f t="shared" si="36"/>
        <v>0.54612361417451682</v>
      </c>
      <c r="N65" s="8">
        <f t="shared" si="37"/>
        <v>0.42517446936682474</v>
      </c>
      <c r="O65" s="8">
        <f t="shared" si="38"/>
        <v>0.308921701827298</v>
      </c>
      <c r="P65" s="8">
        <f t="shared" si="39"/>
        <v>-0.43407505913223843</v>
      </c>
      <c r="Q65" s="8">
        <f t="shared" si="40"/>
        <v>-0.55502420393993046</v>
      </c>
      <c r="R65" s="8">
        <f t="shared" si="41"/>
        <v>-0.67127697147945731</v>
      </c>
      <c r="S65" s="10">
        <f t="shared" si="42"/>
        <v>2.3890279406016301E-4</v>
      </c>
      <c r="T65" s="10">
        <f t="shared" si="43"/>
        <v>2.4102530660902134E-4</v>
      </c>
      <c r="U65" s="10">
        <f t="shared" si="44"/>
        <v>2.204302961848062E-4</v>
      </c>
      <c r="V65" s="12">
        <f t="shared" si="45"/>
        <v>15674.412318287295</v>
      </c>
      <c r="W65" s="12">
        <f t="shared" si="46"/>
        <v>15425.619622977365</v>
      </c>
      <c r="X65" s="12">
        <f t="shared" si="47"/>
        <v>13757.054784893755</v>
      </c>
      <c r="Y65" s="14">
        <f t="shared" si="48"/>
        <v>-290.32519871628568</v>
      </c>
      <c r="Z65" s="14">
        <f t="shared" si="49"/>
        <v>-291.91620959425626</v>
      </c>
      <c r="AA65" s="14">
        <f t="shared" si="50"/>
        <v>-293.50722047222672</v>
      </c>
      <c r="AB65" s="16">
        <f t="shared" si="51"/>
        <v>-309.88983613798501</v>
      </c>
      <c r="AC65" s="16">
        <f t="shared" si="52"/>
        <v>-301.67886028288791</v>
      </c>
      <c r="AD65" s="16">
        <f t="shared" si="53"/>
        <v>-293.46788442779092</v>
      </c>
      <c r="AE65" s="18">
        <f t="shared" si="54"/>
        <v>-3546.927229783566</v>
      </c>
      <c r="AF65" s="18">
        <f t="shared" si="55"/>
        <v>-2663.8287136928493</v>
      </c>
      <c r="AG65" s="18">
        <f t="shared" si="56"/>
        <v>-1872.9480489757775</v>
      </c>
      <c r="AH65" s="18">
        <f t="shared" si="57"/>
        <v>-15735.874421452067</v>
      </c>
      <c r="AI65" s="18">
        <f t="shared" si="58"/>
        <v>-19963.803504756295</v>
      </c>
      <c r="AJ65" s="18">
        <f t="shared" si="59"/>
        <v>-23977.494392533939</v>
      </c>
    </row>
    <row r="66" spans="6:36" x14ac:dyDescent="0.4">
      <c r="F66">
        <v>40400</v>
      </c>
      <c r="G66" s="6">
        <f t="shared" si="30"/>
        <v>8.180472863472682E-2</v>
      </c>
      <c r="H66" s="6">
        <f t="shared" si="31"/>
        <v>-0.22875827132920229</v>
      </c>
      <c r="I66" s="6">
        <f t="shared" si="32"/>
        <v>-0.54322782650070556</v>
      </c>
      <c r="J66">
        <f t="shared" si="33"/>
        <v>4.1804728634726819E-2</v>
      </c>
      <c r="K66">
        <f t="shared" si="34"/>
        <v>-0.26875827132920227</v>
      </c>
      <c r="L66">
        <f t="shared" si="35"/>
        <v>-0.58322782650070559</v>
      </c>
      <c r="M66" s="8">
        <f t="shared" si="36"/>
        <v>0.52205283527596535</v>
      </c>
      <c r="N66" s="8">
        <f t="shared" si="37"/>
        <v>0.40141919506445717</v>
      </c>
      <c r="O66" s="8">
        <f t="shared" si="38"/>
        <v>0.28767505333514587</v>
      </c>
      <c r="P66" s="8">
        <f t="shared" si="39"/>
        <v>-0.4581458380307899</v>
      </c>
      <c r="Q66" s="8">
        <f t="shared" si="40"/>
        <v>-0.57877947824229814</v>
      </c>
      <c r="R66" s="8">
        <f t="shared" si="41"/>
        <v>-0.69252361997160938</v>
      </c>
      <c r="S66" s="10">
        <f t="shared" si="42"/>
        <v>2.4057805495555058E-4</v>
      </c>
      <c r="T66" s="10">
        <f t="shared" si="43"/>
        <v>2.3808980708293087E-4</v>
      </c>
      <c r="U66" s="10">
        <f t="shared" si="44"/>
        <v>2.1354416284188613E-4</v>
      </c>
      <c r="V66" s="12">
        <f t="shared" si="45"/>
        <v>15784.326185633672</v>
      </c>
      <c r="W66" s="12">
        <f t="shared" si="46"/>
        <v>15237.747653307577</v>
      </c>
      <c r="X66" s="12">
        <f t="shared" si="47"/>
        <v>13327.291202962113</v>
      </c>
      <c r="Y66" s="14">
        <f t="shared" si="48"/>
        <v>-293.92606651528644</v>
      </c>
      <c r="Z66" s="14">
        <f t="shared" si="49"/>
        <v>-295.24923037776614</v>
      </c>
      <c r="AA66" s="14">
        <f t="shared" si="50"/>
        <v>-296.57239424024596</v>
      </c>
      <c r="AB66" s="16">
        <f t="shared" si="51"/>
        <v>-311.56912505868115</v>
      </c>
      <c r="AC66" s="16">
        <f t="shared" si="52"/>
        <v>-303.09030218809323</v>
      </c>
      <c r="AD66" s="16">
        <f t="shared" si="53"/>
        <v>-294.61147931750554</v>
      </c>
      <c r="AE66" s="18">
        <f t="shared" si="54"/>
        <v>-3417.6694769694927</v>
      </c>
      <c r="AF66" s="18">
        <f t="shared" si="55"/>
        <v>-2537.8433233325809</v>
      </c>
      <c r="AG66" s="18">
        <f t="shared" si="56"/>
        <v>-1761.6785218998284</v>
      </c>
      <c r="AH66" s="18">
        <f t="shared" si="57"/>
        <v>-16581.483214029329</v>
      </c>
      <c r="AI66" s="18">
        <f t="shared" si="58"/>
        <v>-20788.029086490729</v>
      </c>
      <c r="AJ66" s="18">
        <f t="shared" si="59"/>
        <v>-24705.467480898002</v>
      </c>
    </row>
    <row r="67" spans="6:36" x14ac:dyDescent="0.4">
      <c r="F67">
        <v>40500</v>
      </c>
      <c r="G67" s="6">
        <f t="shared" si="30"/>
        <v>0.02</v>
      </c>
      <c r="H67" s="6">
        <f t="shared" si="31"/>
        <v>-0.2905629999639302</v>
      </c>
      <c r="I67" s="6">
        <f t="shared" si="32"/>
        <v>-0.60503255513543175</v>
      </c>
      <c r="J67">
        <f t="shared" si="33"/>
        <v>-0.02</v>
      </c>
      <c r="K67">
        <f t="shared" si="34"/>
        <v>-0.33056299996393018</v>
      </c>
      <c r="L67">
        <f t="shared" si="35"/>
        <v>-0.64503255513543178</v>
      </c>
      <c r="M67" s="8">
        <f t="shared" si="36"/>
        <v>0.49791966917391012</v>
      </c>
      <c r="N67" s="8">
        <f t="shared" si="37"/>
        <v>0.37805555194869744</v>
      </c>
      <c r="O67" s="8">
        <f t="shared" si="38"/>
        <v>0.26718126336474651</v>
      </c>
      <c r="P67" s="8">
        <f t="shared" si="39"/>
        <v>-0.48227900413284513</v>
      </c>
      <c r="Q67" s="8">
        <f t="shared" si="40"/>
        <v>-0.60214312135805781</v>
      </c>
      <c r="R67" s="8">
        <f t="shared" si="41"/>
        <v>-0.7130174099420088</v>
      </c>
      <c r="S67" s="10">
        <f t="shared" si="42"/>
        <v>2.413361069487613E-4</v>
      </c>
      <c r="T67" s="10">
        <f t="shared" si="43"/>
        <v>2.3429937735887699E-4</v>
      </c>
      <c r="U67" s="10">
        <f t="shared" si="44"/>
        <v>2.060996319995702E-4</v>
      </c>
      <c r="V67" s="12">
        <f t="shared" si="45"/>
        <v>15834.06197690823</v>
      </c>
      <c r="W67" s="12">
        <f t="shared" si="46"/>
        <v>14995.160150968128</v>
      </c>
      <c r="X67" s="12">
        <f t="shared" si="47"/>
        <v>12862.678033093176</v>
      </c>
      <c r="Y67" s="14">
        <f t="shared" si="48"/>
        <v>-296.27699191921903</v>
      </c>
      <c r="Z67" s="14">
        <f t="shared" si="49"/>
        <v>-297.34654367838812</v>
      </c>
      <c r="AA67" s="14">
        <f t="shared" si="50"/>
        <v>-298.41609543755737</v>
      </c>
      <c r="AB67" s="16">
        <f t="shared" si="51"/>
        <v>-311.99847158430907</v>
      </c>
      <c r="AC67" s="16">
        <f t="shared" si="52"/>
        <v>-303.26603661041054</v>
      </c>
      <c r="AD67" s="16">
        <f t="shared" si="53"/>
        <v>-294.53360163651223</v>
      </c>
      <c r="AE67" s="18">
        <f t="shared" si="54"/>
        <v>-3285.9814568937777</v>
      </c>
      <c r="AF67" s="18">
        <f t="shared" si="55"/>
        <v>-2411.9315123661163</v>
      </c>
      <c r="AG67" s="18">
        <f t="shared" si="56"/>
        <v>-1652.6163540929883</v>
      </c>
      <c r="AH67" s="18">
        <f t="shared" si="57"/>
        <v>-17427.188421086852</v>
      </c>
      <c r="AI67" s="18">
        <f t="shared" si="58"/>
        <v>-21596.663000154651</v>
      </c>
      <c r="AJ67" s="18">
        <f t="shared" si="59"/>
        <v>-25405.910016921938</v>
      </c>
    </row>
    <row r="68" spans="6:36" x14ac:dyDescent="0.4">
      <c r="F68">
        <v>40600</v>
      </c>
      <c r="G68" s="6">
        <f t="shared" si="30"/>
        <v>-4.1652312379838852E-2</v>
      </c>
      <c r="H68" s="6">
        <f t="shared" si="31"/>
        <v>-0.35221531234376591</v>
      </c>
      <c r="I68" s="6">
        <f t="shared" si="32"/>
        <v>-0.66668486751527001</v>
      </c>
      <c r="J68">
        <f t="shared" si="33"/>
        <v>-8.1652312379838859E-2</v>
      </c>
      <c r="K68">
        <f t="shared" si="34"/>
        <v>-0.39221531234376589</v>
      </c>
      <c r="L68">
        <f t="shared" si="35"/>
        <v>-0.70668486751527004</v>
      </c>
      <c r="M68" s="8">
        <f t="shared" si="36"/>
        <v>0.47381621265249446</v>
      </c>
      <c r="N68" s="8">
        <f t="shared" si="37"/>
        <v>0.35516361614166803</v>
      </c>
      <c r="O68" s="8">
        <f t="shared" si="38"/>
        <v>0.24748715126250548</v>
      </c>
      <c r="P68" s="8">
        <f t="shared" si="39"/>
        <v>-0.50638246065426085</v>
      </c>
      <c r="Q68" s="8">
        <f t="shared" si="40"/>
        <v>-0.62503505716508723</v>
      </c>
      <c r="R68" s="8">
        <f t="shared" si="41"/>
        <v>-0.73271152204424972</v>
      </c>
      <c r="S68" s="10">
        <f t="shared" si="42"/>
        <v>2.4117507908449353E-4</v>
      </c>
      <c r="T68" s="10">
        <f t="shared" si="43"/>
        <v>2.2970257121002969E-4</v>
      </c>
      <c r="U68" s="10">
        <f t="shared" si="44"/>
        <v>1.9817639985932826E-4</v>
      </c>
      <c r="V68" s="12">
        <f t="shared" si="45"/>
        <v>15823.496938733622</v>
      </c>
      <c r="W68" s="12">
        <f t="shared" si="46"/>
        <v>14700.964557441901</v>
      </c>
      <c r="X68" s="12">
        <f t="shared" si="47"/>
        <v>12368.189115220677</v>
      </c>
      <c r="Y68" s="14">
        <f t="shared" si="48"/>
        <v>-297.37412768086068</v>
      </c>
      <c r="Z68" s="14">
        <f t="shared" si="49"/>
        <v>-298.20525352621678</v>
      </c>
      <c r="AA68" s="14">
        <f t="shared" si="50"/>
        <v>-299.03637937157293</v>
      </c>
      <c r="AB68" s="16">
        <f t="shared" si="51"/>
        <v>-311.17402846764605</v>
      </c>
      <c r="AC68" s="16">
        <f t="shared" si="52"/>
        <v>-302.20316757993453</v>
      </c>
      <c r="AD68" s="16">
        <f t="shared" si="53"/>
        <v>-293.23230669222323</v>
      </c>
      <c r="AE68" s="18">
        <f t="shared" si="54"/>
        <v>-3152.3731924466333</v>
      </c>
      <c r="AF68" s="18">
        <f t="shared" si="55"/>
        <v>-2286.6085338192506</v>
      </c>
      <c r="AG68" s="18">
        <f t="shared" si="56"/>
        <v>-1546.1503908165557</v>
      </c>
      <c r="AH68" s="18">
        <f t="shared" si="57"/>
        <v>-18269.77014575704</v>
      </c>
      <c r="AI68" s="18">
        <f t="shared" si="58"/>
        <v>-22387.017453888962</v>
      </c>
      <c r="AJ68" s="18">
        <f t="shared" si="59"/>
        <v>-26077.361481684024</v>
      </c>
    </row>
    <row r="69" spans="6:36" x14ac:dyDescent="0.4">
      <c r="F69">
        <v>40700</v>
      </c>
      <c r="G69" s="6">
        <f t="shared" si="30"/>
        <v>-0.10315295840139721</v>
      </c>
      <c r="H69" s="6">
        <f t="shared" si="31"/>
        <v>-0.41371595836532443</v>
      </c>
      <c r="I69" s="6">
        <f t="shared" si="32"/>
        <v>-0.72818551353682859</v>
      </c>
      <c r="J69">
        <f t="shared" si="33"/>
        <v>-0.14315295840139722</v>
      </c>
      <c r="K69">
        <f t="shared" si="34"/>
        <v>-0.45371595836532441</v>
      </c>
      <c r="L69">
        <f t="shared" si="35"/>
        <v>-0.76818551353682862</v>
      </c>
      <c r="M69" s="8">
        <f t="shared" si="36"/>
        <v>0.44983354678012832</v>
      </c>
      <c r="N69" s="8">
        <f t="shared" si="37"/>
        <v>0.3328177056065702</v>
      </c>
      <c r="O69" s="8">
        <f t="shared" si="38"/>
        <v>0.22863135646022104</v>
      </c>
      <c r="P69" s="8">
        <f t="shared" si="39"/>
        <v>-0.53036512652662693</v>
      </c>
      <c r="Q69" s="8">
        <f t="shared" si="40"/>
        <v>-0.64738096770018505</v>
      </c>
      <c r="R69" s="8">
        <f t="shared" si="41"/>
        <v>-0.75156731684653422</v>
      </c>
      <c r="S69" s="10">
        <f t="shared" si="42"/>
        <v>2.4010355996327689E-4</v>
      </c>
      <c r="T69" s="10">
        <f t="shared" si="43"/>
        <v>2.2435568442945864E-4</v>
      </c>
      <c r="U69" s="10">
        <f t="shared" si="44"/>
        <v>1.8985579829707545E-4</v>
      </c>
      <c r="V69" s="12">
        <f t="shared" si="45"/>
        <v>15753.194569190597</v>
      </c>
      <c r="W69" s="12">
        <f t="shared" si="46"/>
        <v>14358.763803485352</v>
      </c>
      <c r="X69" s="12">
        <f t="shared" si="47"/>
        <v>11848.900371720478</v>
      </c>
      <c r="Y69" s="14">
        <f t="shared" si="48"/>
        <v>-297.22754673341268</v>
      </c>
      <c r="Z69" s="14">
        <f t="shared" si="49"/>
        <v>-297.83620452980898</v>
      </c>
      <c r="AA69" s="14">
        <f t="shared" si="50"/>
        <v>-298.44486232620505</v>
      </c>
      <c r="AB69" s="16">
        <f t="shared" si="51"/>
        <v>-309.10586864189361</v>
      </c>
      <c r="AC69" s="16">
        <f t="shared" si="52"/>
        <v>-299.91253970522223</v>
      </c>
      <c r="AD69" s="16">
        <f t="shared" si="53"/>
        <v>-290.71921076855085</v>
      </c>
      <c r="AE69" s="18">
        <f t="shared" si="54"/>
        <v>-3017.3727446615826</v>
      </c>
      <c r="AF69" s="18">
        <f t="shared" si="55"/>
        <v>-2162.3774588634215</v>
      </c>
      <c r="AG69" s="18">
        <f t="shared" si="56"/>
        <v>-1442.6353470635859</v>
      </c>
      <c r="AH69" s="18">
        <f t="shared" si="57"/>
        <v>-19106.067665802817</v>
      </c>
      <c r="AI69" s="18">
        <f t="shared" si="58"/>
        <v>-23156.622800337045</v>
      </c>
      <c r="AJ69" s="18">
        <f t="shared" si="59"/>
        <v>-26718.650332621288</v>
      </c>
    </row>
    <row r="70" spans="6:36" x14ac:dyDescent="0.4">
      <c r="F70">
        <v>40800</v>
      </c>
      <c r="G70" s="6">
        <f t="shared" si="30"/>
        <v>-0.16450268244056332</v>
      </c>
      <c r="H70" s="6">
        <f t="shared" si="31"/>
        <v>-0.47506568240449387</v>
      </c>
      <c r="I70" s="6">
        <f t="shared" si="32"/>
        <v>-0.78953523757599575</v>
      </c>
      <c r="J70">
        <f t="shared" si="33"/>
        <v>-0.20450268244056333</v>
      </c>
      <c r="K70">
        <f t="shared" si="34"/>
        <v>-0.51506568240449391</v>
      </c>
      <c r="L70">
        <f t="shared" si="35"/>
        <v>-0.82953523757599579</v>
      </c>
      <c r="M70" s="8">
        <f t="shared" si="36"/>
        <v>0.42606072013711943</v>
      </c>
      <c r="N70" s="8">
        <f t="shared" si="37"/>
        <v>0.3110857303389693</v>
      </c>
      <c r="O70" s="8">
        <f t="shared" si="38"/>
        <v>0.21064432384963594</v>
      </c>
      <c r="P70" s="8">
        <f t="shared" si="39"/>
        <v>-0.55413795316963577</v>
      </c>
      <c r="Q70" s="8">
        <f t="shared" si="40"/>
        <v>-0.66911294296778601</v>
      </c>
      <c r="R70" s="8">
        <f t="shared" si="41"/>
        <v>-0.76955434945711931</v>
      </c>
      <c r="S70" s="10">
        <f t="shared" si="42"/>
        <v>2.3814030821172092E-4</v>
      </c>
      <c r="T70" s="10">
        <f t="shared" si="43"/>
        <v>2.1832164588409837E-4</v>
      </c>
      <c r="U70" s="10">
        <f t="shared" si="44"/>
        <v>1.8121949081919441E-4</v>
      </c>
      <c r="V70" s="12">
        <f t="shared" si="45"/>
        <v>15624.385621771009</v>
      </c>
      <c r="W70" s="12">
        <f t="shared" si="46"/>
        <v>13972.585336582295</v>
      </c>
      <c r="X70" s="12">
        <f t="shared" si="47"/>
        <v>11309.908422025923</v>
      </c>
      <c r="Y70" s="14">
        <f t="shared" si="48"/>
        <v>-295.86087428016486</v>
      </c>
      <c r="Z70" s="14">
        <f t="shared" si="49"/>
        <v>-296.26360848850624</v>
      </c>
      <c r="AA70" s="14">
        <f t="shared" si="50"/>
        <v>-296.66634269684749</v>
      </c>
      <c r="AB70" s="16">
        <f t="shared" si="51"/>
        <v>-305.81761731034101</v>
      </c>
      <c r="AC70" s="16">
        <f t="shared" si="52"/>
        <v>-296.41836478561481</v>
      </c>
      <c r="AD70" s="16">
        <f t="shared" si="53"/>
        <v>-287.01911226088862</v>
      </c>
      <c r="AE70" s="18">
        <f t="shared" si="54"/>
        <v>-2881.519821670794</v>
      </c>
      <c r="AF70" s="18">
        <f t="shared" si="55"/>
        <v>-2039.7233687680052</v>
      </c>
      <c r="AG70" s="18">
        <f t="shared" si="56"/>
        <v>-1342.3888903458769</v>
      </c>
      <c r="AH70" s="18">
        <f t="shared" si="57"/>
        <v>-19933.014221853886</v>
      </c>
      <c r="AI70" s="18">
        <f t="shared" si="58"/>
        <v>-23903.24772094567</v>
      </c>
      <c r="AJ70" s="18">
        <f t="shared" si="59"/>
        <v>-27328.891664021692</v>
      </c>
    </row>
    <row r="71" spans="6:36" x14ac:dyDescent="0.4">
      <c r="F71">
        <v>40900</v>
      </c>
      <c r="G71" s="6">
        <f t="shared" si="30"/>
        <v>-0.22570222340656626</v>
      </c>
      <c r="H71" s="6">
        <f t="shared" si="31"/>
        <v>-0.5362652233704952</v>
      </c>
      <c r="I71" s="6">
        <f t="shared" si="32"/>
        <v>-0.85073477854199808</v>
      </c>
      <c r="J71">
        <f t="shared" si="33"/>
        <v>-0.26570222340656624</v>
      </c>
      <c r="K71">
        <f t="shared" si="34"/>
        <v>-0.57626522337049524</v>
      </c>
      <c r="L71">
        <f t="shared" si="35"/>
        <v>-0.89073477854199812</v>
      </c>
      <c r="M71" s="8">
        <f t="shared" si="36"/>
        <v>0.40258378246045234</v>
      </c>
      <c r="N71" s="8">
        <f t="shared" si="37"/>
        <v>0.29002866328210636</v>
      </c>
      <c r="O71" s="8">
        <f t="shared" si="38"/>
        <v>0.19354841229569197</v>
      </c>
      <c r="P71" s="8">
        <f t="shared" si="39"/>
        <v>-0.57761489084630291</v>
      </c>
      <c r="Q71" s="8">
        <f t="shared" si="40"/>
        <v>-0.69017001002464884</v>
      </c>
      <c r="R71" s="8">
        <f t="shared" si="41"/>
        <v>-0.78665026101106328</v>
      </c>
      <c r="S71" s="10">
        <f t="shared" si="42"/>
        <v>2.3531377815358371E-4</v>
      </c>
      <c r="T71" s="10">
        <f t="shared" si="43"/>
        <v>2.1166882809257409E-4</v>
      </c>
      <c r="U71" s="10">
        <f t="shared" si="44"/>
        <v>1.723482375691594E-4</v>
      </c>
      <c r="V71" s="12">
        <f t="shared" si="45"/>
        <v>15438.936984656628</v>
      </c>
      <c r="W71" s="12">
        <f t="shared" si="46"/>
        <v>13546.804997924741</v>
      </c>
      <c r="X71" s="12">
        <f t="shared" si="47"/>
        <v>10756.253506691239</v>
      </c>
      <c r="Y71" s="14">
        <f t="shared" si="48"/>
        <v>-293.31067469167709</v>
      </c>
      <c r="Z71" s="14">
        <f t="shared" si="49"/>
        <v>-293.52442931019351</v>
      </c>
      <c r="AA71" s="14">
        <f t="shared" si="50"/>
        <v>-293.73818392870999</v>
      </c>
      <c r="AB71" s="16">
        <f t="shared" si="51"/>
        <v>-301.34583884354851</v>
      </c>
      <c r="AC71" s="16">
        <f t="shared" si="52"/>
        <v>-291.75760672899736</v>
      </c>
      <c r="AD71" s="16">
        <f t="shared" si="53"/>
        <v>-282.16937461444633</v>
      </c>
      <c r="AE71" s="18">
        <f t="shared" si="54"/>
        <v>-2745.3592543886261</v>
      </c>
      <c r="AF71" s="18">
        <f t="shared" si="55"/>
        <v>-1919.1079913691945</v>
      </c>
      <c r="AG71" s="18">
        <f t="shared" si="56"/>
        <v>-1245.6894485995429</v>
      </c>
      <c r="AH71" s="18">
        <f t="shared" si="57"/>
        <v>-20747.669630476739</v>
      </c>
      <c r="AI71" s="18">
        <f t="shared" si="58"/>
        <v>-24624.915025821374</v>
      </c>
      <c r="AJ71" s="18">
        <f t="shared" si="59"/>
        <v>-27907.480728656144</v>
      </c>
    </row>
    <row r="72" spans="6:36" x14ac:dyDescent="0.4">
      <c r="F72">
        <v>41000</v>
      </c>
      <c r="G72" s="6">
        <f t="shared" si="30"/>
        <v>-0.28675231479535895</v>
      </c>
      <c r="H72" s="6">
        <f t="shared" si="31"/>
        <v>-0.59731531475928812</v>
      </c>
      <c r="I72" s="6">
        <f t="shared" si="32"/>
        <v>-0.91178486993079133</v>
      </c>
      <c r="J72">
        <f t="shared" si="33"/>
        <v>-0.32675231479535893</v>
      </c>
      <c r="K72">
        <f t="shared" si="34"/>
        <v>-0.63731531475928815</v>
      </c>
      <c r="L72">
        <f t="shared" si="35"/>
        <v>-0.95178486993079137</v>
      </c>
      <c r="M72" s="8">
        <f t="shared" si="36"/>
        <v>0.37948488551460363</v>
      </c>
      <c r="N72" s="8">
        <f t="shared" si="37"/>
        <v>0.26970013658828113</v>
      </c>
      <c r="O72" s="8">
        <f t="shared" si="38"/>
        <v>0.17735811667694196</v>
      </c>
      <c r="P72" s="8">
        <f t="shared" si="39"/>
        <v>-0.60071378779215157</v>
      </c>
      <c r="Q72" s="8">
        <f t="shared" si="40"/>
        <v>-0.71049853671847418</v>
      </c>
      <c r="R72" s="8">
        <f t="shared" si="41"/>
        <v>-0.80284055662981335</v>
      </c>
      <c r="S72" s="10">
        <f t="shared" si="42"/>
        <v>2.3166147614424383E-4</v>
      </c>
      <c r="T72" s="10">
        <f t="shared" si="43"/>
        <v>2.0446980748213344E-4</v>
      </c>
      <c r="U72" s="10">
        <f t="shared" si="44"/>
        <v>1.6332075254270713E-4</v>
      </c>
      <c r="V72" s="12">
        <f t="shared" si="45"/>
        <v>15199.309449823839</v>
      </c>
      <c r="W72" s="12">
        <f t="shared" si="46"/>
        <v>13086.06767885654</v>
      </c>
      <c r="X72" s="12">
        <f t="shared" si="47"/>
        <v>10192.848166190353</v>
      </c>
      <c r="Y72" s="14">
        <f t="shared" si="48"/>
        <v>-289.62561336846153</v>
      </c>
      <c r="Z72" s="14">
        <f t="shared" si="49"/>
        <v>-289.6675463100708</v>
      </c>
      <c r="AA72" s="14">
        <f t="shared" si="50"/>
        <v>-289.70947925168008</v>
      </c>
      <c r="AB72" s="16">
        <f t="shared" si="51"/>
        <v>-295.73919864202833</v>
      </c>
      <c r="AC72" s="16">
        <f t="shared" si="52"/>
        <v>-285.97914485057004</v>
      </c>
      <c r="AD72" s="16">
        <f t="shared" si="53"/>
        <v>-276.21909105911175</v>
      </c>
      <c r="AE72" s="18">
        <f t="shared" si="54"/>
        <v>-2609.4344696928583</v>
      </c>
      <c r="AF72" s="18">
        <f t="shared" si="55"/>
        <v>-1800.9648731377517</v>
      </c>
      <c r="AG72" s="18">
        <f t="shared" si="56"/>
        <v>-1152.7747486751562</v>
      </c>
      <c r="AH72" s="18">
        <f t="shared" si="57"/>
        <v>-21547.250172087843</v>
      </c>
      <c r="AI72" s="18">
        <f t="shared" si="58"/>
        <v>-25319.912975342941</v>
      </c>
      <c r="AJ72" s="18">
        <f t="shared" si="59"/>
        <v>-28454.082705672379</v>
      </c>
    </row>
    <row r="73" spans="6:36" x14ac:dyDescent="0.4">
      <c r="F73">
        <v>41100</v>
      </c>
      <c r="G73" s="6">
        <f t="shared" si="30"/>
        <v>-0.34765368474238623</v>
      </c>
      <c r="H73" s="6">
        <f t="shared" si="31"/>
        <v>-0.65821668470631467</v>
      </c>
      <c r="I73" s="6">
        <f t="shared" si="32"/>
        <v>-0.9726862398778171</v>
      </c>
      <c r="J73">
        <f t="shared" si="33"/>
        <v>-0.38765368474238621</v>
      </c>
      <c r="K73">
        <f t="shared" si="34"/>
        <v>-0.69821668470631471</v>
      </c>
      <c r="L73">
        <f t="shared" si="35"/>
        <v>-1.0126862398778171</v>
      </c>
      <c r="M73" s="8">
        <f t="shared" si="36"/>
        <v>0.35684146598624028</v>
      </c>
      <c r="N73" s="8">
        <f t="shared" si="37"/>
        <v>0.25014616483327673</v>
      </c>
      <c r="O73" s="8">
        <f t="shared" si="38"/>
        <v>0.16208039196456384</v>
      </c>
      <c r="P73" s="8">
        <f t="shared" si="39"/>
        <v>-0.62335720732051492</v>
      </c>
      <c r="Q73" s="8">
        <f t="shared" si="40"/>
        <v>-0.73005250847347858</v>
      </c>
      <c r="R73" s="8">
        <f t="shared" si="41"/>
        <v>-0.81811828134219144</v>
      </c>
      <c r="S73" s="10">
        <f t="shared" si="42"/>
        <v>2.2722916695180301E-4</v>
      </c>
      <c r="T73" s="10">
        <f t="shared" si="43"/>
        <v>1.9680010428448338E-4</v>
      </c>
      <c r="U73" s="10">
        <f t="shared" si="44"/>
        <v>1.5421267221184471E-4</v>
      </c>
      <c r="V73" s="12">
        <f t="shared" si="45"/>
        <v>14908.505643707795</v>
      </c>
      <c r="W73" s="12">
        <f t="shared" si="46"/>
        <v>12595.206674206935</v>
      </c>
      <c r="X73" s="12">
        <f t="shared" si="47"/>
        <v>9624.4128727412281</v>
      </c>
      <c r="Y73" s="14">
        <f t="shared" si="48"/>
        <v>-284.86541893271891</v>
      </c>
      <c r="Z73" s="14">
        <f t="shared" si="49"/>
        <v>-284.75272108796219</v>
      </c>
      <c r="AA73" s="14">
        <f t="shared" si="50"/>
        <v>-284.64002324320535</v>
      </c>
      <c r="AB73" s="16">
        <f t="shared" si="51"/>
        <v>-289.05742532798115</v>
      </c>
      <c r="AC73" s="16">
        <f t="shared" si="52"/>
        <v>-279.1427407501568</v>
      </c>
      <c r="AD73" s="16">
        <f t="shared" si="53"/>
        <v>-269.22805617233234</v>
      </c>
      <c r="AE73" s="18">
        <f t="shared" si="54"/>
        <v>-2474.2810892457951</v>
      </c>
      <c r="AF73" s="18">
        <f t="shared" si="55"/>
        <v>-1685.6951617539851</v>
      </c>
      <c r="AG73" s="18">
        <f t="shared" si="56"/>
        <v>-1063.8410733869352</v>
      </c>
      <c r="AH73" s="18">
        <f t="shared" si="57"/>
        <v>-22329.155282539494</v>
      </c>
      <c r="AI73" s="18">
        <f t="shared" si="58"/>
        <v>-25986.802134159352</v>
      </c>
      <c r="AJ73" s="18">
        <f t="shared" si="59"/>
        <v>-28968.619156523098</v>
      </c>
    </row>
    <row r="74" spans="6:36" x14ac:dyDescent="0.4">
      <c r="F74">
        <v>41200</v>
      </c>
      <c r="G74" s="6">
        <f t="shared" si="30"/>
        <v>-0.40840705607468103</v>
      </c>
      <c r="H74" s="6">
        <f t="shared" si="31"/>
        <v>-0.71897005603860975</v>
      </c>
      <c r="I74" s="6">
        <f t="shared" si="32"/>
        <v>-1.0334396112101125</v>
      </c>
      <c r="J74">
        <f t="shared" si="33"/>
        <v>-0.44840705607468101</v>
      </c>
      <c r="K74">
        <f t="shared" si="34"/>
        <v>-0.75897005603860979</v>
      </c>
      <c r="L74">
        <f t="shared" si="35"/>
        <v>-1.0734396112101126</v>
      </c>
      <c r="M74" s="8">
        <f t="shared" si="36"/>
        <v>0.33472552287747598</v>
      </c>
      <c r="N74" s="8">
        <f t="shared" si="37"/>
        <v>0.23140499389635727</v>
      </c>
      <c r="O74" s="8">
        <f t="shared" si="38"/>
        <v>0.14771506640538337</v>
      </c>
      <c r="P74" s="8">
        <f t="shared" si="39"/>
        <v>-0.64547315042927922</v>
      </c>
      <c r="Q74" s="8">
        <f t="shared" si="40"/>
        <v>-0.74879367941039798</v>
      </c>
      <c r="R74" s="8">
        <f t="shared" si="41"/>
        <v>-0.83248360690137191</v>
      </c>
      <c r="S74" s="10">
        <f t="shared" si="42"/>
        <v>2.2206995277042604E-4</v>
      </c>
      <c r="T74" s="10">
        <f t="shared" si="43"/>
        <v>1.887369309612701E-4</v>
      </c>
      <c r="U74" s="10">
        <f t="shared" si="44"/>
        <v>1.4509565052428646E-4</v>
      </c>
      <c r="V74" s="12">
        <f t="shared" si="45"/>
        <v>14570.009601267653</v>
      </c>
      <c r="W74" s="12">
        <f t="shared" si="46"/>
        <v>12079.163581521287</v>
      </c>
      <c r="X74" s="12">
        <f t="shared" si="47"/>
        <v>9055.4195492207182</v>
      </c>
      <c r="Y74" s="14">
        <f t="shared" si="48"/>
        <v>-279.09967537606792</v>
      </c>
      <c r="Z74" s="14">
        <f t="shared" si="49"/>
        <v>-278.84939736996176</v>
      </c>
      <c r="AA74" s="14">
        <f t="shared" si="50"/>
        <v>-278.59911936385561</v>
      </c>
      <c r="AB74" s="16">
        <f t="shared" si="51"/>
        <v>-281.37010289302543</v>
      </c>
      <c r="AC74" s="16">
        <f t="shared" si="52"/>
        <v>-271.31783815385177</v>
      </c>
      <c r="AD74" s="16">
        <f t="shared" si="53"/>
        <v>-261.26557341467799</v>
      </c>
      <c r="AE74" s="18">
        <f t="shared" si="54"/>
        <v>-2340.4207760490622</v>
      </c>
      <c r="AF74" s="18">
        <f t="shared" si="55"/>
        <v>-1573.6640566155554</v>
      </c>
      <c r="AG74" s="18">
        <f t="shared" si="56"/>
        <v>-979.04320904735482</v>
      </c>
      <c r="AH74" s="18">
        <f t="shared" si="57"/>
        <v>-23090.990665247718</v>
      </c>
      <c r="AI74" s="18">
        <f t="shared" si="58"/>
        <v>-26624.417866497697</v>
      </c>
      <c r="AJ74" s="18">
        <f t="shared" si="59"/>
        <v>-29451.251651771148</v>
      </c>
    </row>
    <row r="75" spans="6:36" x14ac:dyDescent="0.4">
      <c r="F75">
        <v>41300</v>
      </c>
      <c r="G75" s="6">
        <f t="shared" si="30"/>
        <v>-0.46901314636233993</v>
      </c>
      <c r="H75" s="6">
        <f t="shared" si="31"/>
        <v>-0.77957614632626915</v>
      </c>
      <c r="I75" s="6">
        <f t="shared" si="32"/>
        <v>-1.0940457014977725</v>
      </c>
      <c r="J75">
        <f t="shared" si="33"/>
        <v>-0.50901314636233996</v>
      </c>
      <c r="K75">
        <f t="shared" si="34"/>
        <v>-0.81957614632626918</v>
      </c>
      <c r="L75">
        <f t="shared" si="35"/>
        <v>-1.1340457014977725</v>
      </c>
      <c r="M75" s="8">
        <f t="shared" si="36"/>
        <v>0.31320299931823259</v>
      </c>
      <c r="N75" s="8">
        <f t="shared" si="37"/>
        <v>0.21350707152265966</v>
      </c>
      <c r="O75" s="8">
        <f t="shared" si="38"/>
        <v>0.13425532986846264</v>
      </c>
      <c r="P75" s="8">
        <f t="shared" si="39"/>
        <v>-0.66699567398852266</v>
      </c>
      <c r="Q75" s="8">
        <f t="shared" si="40"/>
        <v>-0.76669160178409557</v>
      </c>
      <c r="R75" s="8">
        <f t="shared" si="41"/>
        <v>-0.84594334343829258</v>
      </c>
      <c r="S75" s="10">
        <f t="shared" si="42"/>
        <v>2.1624324985962081E-4</v>
      </c>
      <c r="T75" s="10">
        <f t="shared" si="43"/>
        <v>1.8035797619511083E-4</v>
      </c>
      <c r="U75" s="10">
        <f t="shared" si="44"/>
        <v>1.360365908961943E-4</v>
      </c>
      <c r="V75" s="12">
        <f t="shared" si="45"/>
        <v>14187.719623289722</v>
      </c>
      <c r="W75" s="12">
        <f t="shared" si="46"/>
        <v>11542.910476487092</v>
      </c>
      <c r="X75" s="12">
        <f t="shared" si="47"/>
        <v>8490.0436378314862</v>
      </c>
      <c r="Y75" s="14">
        <f t="shared" si="48"/>
        <v>-272.40647700991786</v>
      </c>
      <c r="Z75" s="14">
        <f t="shared" si="49"/>
        <v>-272.03536635537438</v>
      </c>
      <c r="AA75" s="14">
        <f t="shared" si="50"/>
        <v>-271.66425570083078</v>
      </c>
      <c r="AB75" s="16">
        <f t="shared" si="51"/>
        <v>-272.75532564857099</v>
      </c>
      <c r="AC75" s="16">
        <f t="shared" si="52"/>
        <v>-262.58222826095982</v>
      </c>
      <c r="AD75" s="16">
        <f t="shared" si="53"/>
        <v>-252.40913087334877</v>
      </c>
      <c r="AE75" s="18">
        <f t="shared" si="54"/>
        <v>-2208.3554416536304</v>
      </c>
      <c r="AF75" s="18">
        <f t="shared" si="55"/>
        <v>-1465.1979665196266</v>
      </c>
      <c r="AG75" s="18">
        <f t="shared" si="56"/>
        <v>-898.49504120298877</v>
      </c>
      <c r="AH75" s="18">
        <f t="shared" si="57"/>
        <v>-23830.587535001643</v>
      </c>
      <c r="AI75" s="18">
        <f t="shared" si="58"/>
        <v>-27231.868671349672</v>
      </c>
      <c r="AJ75" s="18">
        <f t="shared" si="59"/>
        <v>-29902.363077135149</v>
      </c>
    </row>
    <row r="76" spans="6:36" x14ac:dyDescent="0.4">
      <c r="F76">
        <v>41400</v>
      </c>
      <c r="G76" s="6">
        <f t="shared" ref="G76:G112" si="60">(LN($C$13/$F76)+(sigma2^2/2))*(TimeofExpiration2)/(sigma2*SQRT(TimeofExpiration2))</f>
        <v>-0.52947266796938075</v>
      </c>
      <c r="H76" s="6">
        <f t="shared" ref="H76:H112" si="61">(LN($D$13/$F76)+(sigma2^2/2))*(TimeofExpiration2)/(sigma2*SQRT(TimeofExpiration2))</f>
        <v>-0.84003566793331086</v>
      </c>
      <c r="I76" s="6">
        <f t="shared" ref="I76:I112" si="62">(LN($E$13/$F76)+(sigma2^2/2))*(TimeofExpiration2)/(sigma2*SQRT(TimeofExpiration2))</f>
        <v>-1.1545052231048123</v>
      </c>
      <c r="J76">
        <f t="shared" ref="J76:J112" si="63">$G76-sigma2*SQRT(TimeofExpiration2)</f>
        <v>-0.56947266796938079</v>
      </c>
      <c r="K76">
        <f t="shared" ref="K76:K112" si="64">$H76-sigma2*SQRT(TimeofExpiration2)</f>
        <v>-0.88003566793331089</v>
      </c>
      <c r="L76">
        <f t="shared" si="35"/>
        <v>-1.1945052231048123</v>
      </c>
      <c r="M76" s="8">
        <f t="shared" ref="M76:M112" si="65">_xlfn.NORM.S.DIST(G76,TRUE)*EXP(-rate2*TimeofExpiration2)</f>
        <v>0.29233327601851383</v>
      </c>
      <c r="N76" s="8">
        <f t="shared" ref="N76:N112" si="66">_xlfn.NORM.S.DIST(H76,TRUE)*EXP(-rate2*TimeofExpiration2)</f>
        <v>0.1964751331542447</v>
      </c>
      <c r="O76" s="8">
        <f t="shared" ref="O76:O112" si="67">_xlfn.NORM.S.DIST(I76,TRUE)*EXP(-rate2*TimeofExpiration2)</f>
        <v>0.12168828284323849</v>
      </c>
      <c r="P76" s="8">
        <f t="shared" ref="P76:P112" si="68">M76-1*EXP(-rate2*TimeofExpiration2)</f>
        <v>-0.68786539728824136</v>
      </c>
      <c r="Q76" s="8">
        <f t="shared" ref="Q76:Q112" si="69">N76-1*EXP(-rate2*TimeofExpiration2)</f>
        <v>-0.78372354015251056</v>
      </c>
      <c r="R76" s="8">
        <f t="shared" ref="R76:R112" si="70">O76-1*EXP(-rate2*TimeofExpiration2)</f>
        <v>-0.85851039046351674</v>
      </c>
      <c r="S76" s="10">
        <f t="shared" ref="S76:S112" si="71">(1/(Stock*sigma2*SQRT(TimeofExpiration2)))*_xlfn.NORM.S.DIST($G76,FALSE)*EXP(-rate2*TimeofExpiration2)</f>
        <v>2.0981368937370256E-4</v>
      </c>
      <c r="T76" s="10">
        <f t="shared" ref="T76:T112" si="72">(1/($D$13*sigma2*SQRT(TimeofExpiration2)))*_xlfn.NORM.S.DIST($H76,FALSE)*EXP(-rate2*TimeofExpiration2)</f>
        <v>1.7174024895230477E-4</v>
      </c>
      <c r="U76" s="10">
        <f t="shared" ref="U76:U112" si="73">(1/($E$13*sigma2*SQRT(TimeofExpiration2)))*_xlfn.NORM.S.DIST($I76,FALSE)*EXP(-rate2*TimeofExpiration2)</f>
        <v>1.2709702150423487E-4</v>
      </c>
      <c r="V76" s="12">
        <f t="shared" ref="V76:V112" si="74">Stock*SQRT(TimeofExpiration2)*_xlfn.NORM.S.DIST(G76,FALSE)*EXP(-rate2*TimeofExpiration2)</f>
        <v>13765.876159808626</v>
      </c>
      <c r="W76" s="12">
        <f t="shared" ref="W76:W112" si="75">$D$13*SQRT(TimeofExpiration2)*_xlfn.NORM.S.DIST($H76,FALSE)*EXP(-rate2*TimeofExpiration2)</f>
        <v>10991.375932947505</v>
      </c>
      <c r="X76" s="12">
        <f t="shared" ref="X76:X112" si="76">$E$13*SQRT(TimeofExpiration2)*_xlfn.NORM.S.DIST($I76,FALSE)*EXP(-rate2*TimeofExpiration2)</f>
        <v>7932.1251120792967</v>
      </c>
      <c r="Y76" s="14">
        <f t="shared" ref="Y76:Y112" si="77">-(C$13*sigma2*_xlfn.NORM.S.DIST($G76,FALSE)/2*SQRT(TimeofExpiration2))*EXP(-rate2*TimeofExpiration2) + rate2* C$13*_xlfn.NORM.S.DIST($G76,TRUE)*EXP(-rate2*TimeofExpiration2) - rate2*$F76*EXP(-rate2*TimeofExpiration2)*_xlfn.NORM.S.DIST($J76,TRUE)*EXP(-rate2*TimeofExpiration2)</f>
        <v>-264.87098118276123</v>
      </c>
      <c r="Z76" s="14">
        <f t="shared" ref="Z76:Z112" si="78">-(D$13*sigma2*_xlfn.NORM.S.DIST($G76,FALSE)/2*SQRT(TimeofExpiration2))*EXP(-rate2*TimeofExpiration2) + rate2* D$13*_xlfn.NORM.S.DIST($G76,TRUE)*EXP(-rate2*TimeofExpiration2) - rate2*$F76*EXP(-rate2*TimeofExpiration2)*_xlfn.NORM.S.DIST($J76,TRUE)*EXP(-rate2*TimeofExpiration2)</f>
        <v>-264.39533217509239</v>
      </c>
      <c r="AA76" s="14">
        <f t="shared" ref="AA76:AA112" si="79">-(E$13*sigma2*_xlfn.NORM.S.DIST($G76,FALSE)/2*SQRT(TimeofExpiration2))*EXP(-rate2*TimeofExpiration2) + rate2* E$13*_xlfn.NORM.S.DIST($G76,TRUE)*EXP(-rate2*TimeofExpiration2) - rate2*$F76*EXP(-rate2*TimeofExpiration2)*_xlfn.NORM.S.DIST($J76,TRUE)*EXP(-rate2*TimeofExpiration2)</f>
        <v>-263.91968316742356</v>
      </c>
      <c r="AB76" s="16">
        <f t="shared" ref="AB76:AB112" si="80">-(C$13*sigma2*_xlfn.NORM.S.DIST($G76,FALSE)/2*SQRT(TimeofExpiration2))*EXP(-rate2*TimeofExpiration2) - rate2* C$13*_xlfn.NORM.S.DIST(-$G76,TRUE)*EXP(-rate2*TimeofExpiration2) + rate2*$F76*EXP(-rate2*TimeofExpiration2)*_xlfn.NORM.S.DIST(-$J76,TRUE)*EXP(-rate2*TimeofExpiration2)</f>
        <v>-263.29825094310957</v>
      </c>
      <c r="AC76" s="16">
        <f t="shared" ref="AC76:AC112" si="81">-(D$13*sigma2*_xlfn.NORM.S.DIST($G76,FALSE)/2*SQRT(TimeofExpiration2))*EXP(-rate2*TimeofExpiration2) - rate2* D$13*_xlfn.NORM.S.DIST(-$G76,TRUE)*EXP(-rate2*TimeofExpiration2) + rate2*$F76*EXP(-rate2*TimeofExpiration2)*_xlfn.NORM.S.DIST(-$J76,TRUE)*EXP(-rate2*TimeofExpiration2)</f>
        <v>-253.02061520237305</v>
      </c>
      <c r="AD76" s="16">
        <f t="shared" ref="AD76:AD112" si="82">-(E$13*sigma2*_xlfn.NORM.S.DIST($G76,FALSE)/2*SQRT(TimeofExpiration2))*EXP(-rate2*TimeofExpiration2) - rate2* E$13*_xlfn.NORM.S.DIST(-$G76,TRUE)*EXP(-rate2*TimeofExpiration2) + rate2*$F76*EXP(-rate2*TimeofExpiration2)*_xlfn.NORM.S.DIST(-$J76,TRUE)*EXP(-rate2*TimeofExpiration2)</f>
        <v>-242.74297946163676</v>
      </c>
      <c r="AE76" s="18">
        <f t="shared" ref="AE76:AE112" si="83">-TimeofExpiration2*EXP(-rate2*TimeofExpiration2)*(C$13*_xlfn.NORM.S.DIST(G76,TRUE)-Strike*_xlfn.NORM.S.DIST(J76,TRUE))</f>
        <v>-2078.5619150451284</v>
      </c>
      <c r="AF76" s="18">
        <f t="shared" ref="AF76:AF112" si="84">-TimeofExpiration2*EXP(-rate2*TimeofExpiration2)*(D$13*_xlfn.NORM.S.DIST(H76,TRUE)-Strike*_xlfn.NORM.S.DIST(K76,TRUE))</f>
        <v>-1360.5823954716925</v>
      </c>
      <c r="AG76" s="18">
        <f t="shared" ref="AG76:AG112" si="85">-TimeofExpiration2*EXP(-rate2*TimeofExpiration2)*(E$13*_xlfn.NORM.S.DIST(I76,TRUE)-Strike*_xlfn.NORM.S.DIST(L76,TRUE))</f>
        <v>-822.27074421726195</v>
      </c>
      <c r="AH76" s="18">
        <f t="shared" ref="AH76:AH112" si="86">-TimeofExpiration2*EXP(-rate2*TimeofExpiration2)*(-C$13*(1=_xlfn.NORM.S.DIST(G76,TRUE))+Strike*(1-_xlfn.NORM.S.DIST(J76,TRUE)))</f>
        <v>-24546.017802031751</v>
      </c>
      <c r="AI76" s="18">
        <f t="shared" ref="AI76:AI112" si="87">-TimeofExpiration2*EXP(-rate2*TimeofExpiration2)*(-D$13*(1=_xlfn.NORM.S.DIST(H76,TRUE))+Strike*(1-_xlfn.NORM.S.DIST(K76,TRUE)))</f>
        <v>-27808.530635038336</v>
      </c>
      <c r="AJ76" s="18">
        <f t="shared" ref="AJ76:AJ112" si="88">-TimeofExpiration2*EXP(-rate2*TimeofExpiration2)*(-E$13*(1=_xlfn.NORM.S.DIST(I76,TRUE))+Strike*(1-_xlfn.NORM.S.DIST(L76,TRUE)))</f>
        <v>-30322.537137645777</v>
      </c>
    </row>
    <row r="77" spans="6:36" x14ac:dyDescent="0.4">
      <c r="F77">
        <v>41500</v>
      </c>
      <c r="G77" s="6">
        <f t="shared" si="60"/>
        <v>-0.58978632810397813</v>
      </c>
      <c r="H77" s="6">
        <f t="shared" si="61"/>
        <v>-0.90034932806790779</v>
      </c>
      <c r="I77" s="6">
        <f t="shared" si="62"/>
        <v>-1.2148188832394118</v>
      </c>
      <c r="J77">
        <f t="shared" si="63"/>
        <v>-0.62978632810397817</v>
      </c>
      <c r="K77">
        <f t="shared" si="64"/>
        <v>-0.94034932806790783</v>
      </c>
      <c r="L77">
        <f t="shared" si="35"/>
        <v>-1.2548188832394118</v>
      </c>
      <c r="M77" s="8">
        <f t="shared" si="65"/>
        <v>0.27216878082176149</v>
      </c>
      <c r="N77" s="8">
        <f t="shared" si="66"/>
        <v>0.18032439450406124</v>
      </c>
      <c r="O77" s="8">
        <f t="shared" si="67"/>
        <v>0.10999553142030279</v>
      </c>
      <c r="P77" s="8">
        <f t="shared" si="68"/>
        <v>-0.70802989248499371</v>
      </c>
      <c r="Q77" s="8">
        <f t="shared" si="69"/>
        <v>-0.79987427880269402</v>
      </c>
      <c r="R77" s="8">
        <f t="shared" si="70"/>
        <v>-0.87020314188645242</v>
      </c>
      <c r="S77" s="10">
        <f t="shared" si="71"/>
        <v>2.0284996966815185E-4</v>
      </c>
      <c r="T77" s="10">
        <f t="shared" si="72"/>
        <v>1.6295900404644296E-4</v>
      </c>
      <c r="U77" s="10">
        <f t="shared" si="73"/>
        <v>1.183326160454352E-4</v>
      </c>
      <c r="V77" s="12">
        <f t="shared" si="74"/>
        <v>13308.986509927445</v>
      </c>
      <c r="W77" s="12">
        <f t="shared" si="75"/>
        <v>10429.376258972348</v>
      </c>
      <c r="X77" s="12">
        <f t="shared" si="76"/>
        <v>7385.1385673956111</v>
      </c>
      <c r="Y77" s="14">
        <f t="shared" si="77"/>
        <v>-256.58389472892003</v>
      </c>
      <c r="Z77" s="14">
        <f t="shared" si="78"/>
        <v>-256.01941302851361</v>
      </c>
      <c r="AA77" s="14">
        <f t="shared" si="79"/>
        <v>-255.45493132810714</v>
      </c>
      <c r="AB77" s="16">
        <f t="shared" si="80"/>
        <v>-253.08958561096358</v>
      </c>
      <c r="AC77" s="16">
        <f t="shared" si="81"/>
        <v>-242.7231171774896</v>
      </c>
      <c r="AD77" s="16">
        <f t="shared" si="82"/>
        <v>-232.35664874401562</v>
      </c>
      <c r="AE77" s="18">
        <f t="shared" si="83"/>
        <v>-1951.4871600660472</v>
      </c>
      <c r="AF77" s="18">
        <f t="shared" si="84"/>
        <v>-1260.0605597435256</v>
      </c>
      <c r="AG77" s="18">
        <f t="shared" si="85"/>
        <v>-750.40650062179225</v>
      </c>
      <c r="AH77" s="18">
        <f t="shared" si="86"/>
        <v>-25235.605102521142</v>
      </c>
      <c r="AI77" s="18">
        <f t="shared" si="87"/>
        <v>-28354.038345317509</v>
      </c>
      <c r="AJ77" s="18">
        <f t="shared" si="88"/>
        <v>-30712.536575256265</v>
      </c>
    </row>
    <row r="78" spans="6:36" x14ac:dyDescent="0.4">
      <c r="F78">
        <v>41600</v>
      </c>
      <c r="G78" s="6">
        <f t="shared" si="60"/>
        <v>-0.64995482886810407</v>
      </c>
      <c r="H78" s="6">
        <f t="shared" si="61"/>
        <v>-0.96051782883203163</v>
      </c>
      <c r="I78" s="6">
        <f t="shared" si="62"/>
        <v>-1.2749873840035364</v>
      </c>
      <c r="J78">
        <f t="shared" si="63"/>
        <v>-0.68995482886810411</v>
      </c>
      <c r="K78">
        <f t="shared" si="64"/>
        <v>-1.0005178288320316</v>
      </c>
      <c r="L78">
        <f t="shared" si="35"/>
        <v>-1.3149873840035364</v>
      </c>
      <c r="M78" s="8">
        <f t="shared" si="65"/>
        <v>0.25275471608411376</v>
      </c>
      <c r="N78" s="8">
        <f t="shared" si="66"/>
        <v>0.16506284059270696</v>
      </c>
      <c r="O78" s="8">
        <f t="shared" si="67"/>
        <v>9.9153813812292255E-2</v>
      </c>
      <c r="P78" s="8">
        <f t="shared" si="68"/>
        <v>-0.72744395722264144</v>
      </c>
      <c r="Q78" s="8">
        <f t="shared" si="69"/>
        <v>-0.81513583271404833</v>
      </c>
      <c r="R78" s="8">
        <f t="shared" si="70"/>
        <v>-0.88104485949446298</v>
      </c>
      <c r="S78" s="10">
        <f t="shared" si="71"/>
        <v>1.9542368726477942E-4</v>
      </c>
      <c r="T78" s="10">
        <f t="shared" si="72"/>
        <v>1.5408676714649081E-4</v>
      </c>
      <c r="U78" s="10">
        <f t="shared" si="73"/>
        <v>1.0979285828897056E-4</v>
      </c>
      <c r="V78" s="12">
        <f t="shared" si="74"/>
        <v>12821.748121442179</v>
      </c>
      <c r="W78" s="12">
        <f t="shared" si="75"/>
        <v>9861.5530973754103</v>
      </c>
      <c r="X78" s="12">
        <f t="shared" si="76"/>
        <v>6852.1722858146522</v>
      </c>
      <c r="Y78" s="14">
        <f t="shared" si="77"/>
        <v>-247.63993002224035</v>
      </c>
      <c r="Z78" s="14">
        <f t="shared" si="78"/>
        <v>-247.0016134493921</v>
      </c>
      <c r="AA78" s="14">
        <f t="shared" si="79"/>
        <v>-246.36329687654379</v>
      </c>
      <c r="AB78" s="16">
        <f t="shared" si="80"/>
        <v>-242.22404202597932</v>
      </c>
      <c r="AC78" s="16">
        <f t="shared" si="81"/>
        <v>-231.78373872006341</v>
      </c>
      <c r="AD78" s="16">
        <f t="shared" si="82"/>
        <v>-221.34343541414751</v>
      </c>
      <c r="AE78" s="18">
        <f t="shared" si="83"/>
        <v>-1827.5441123473402</v>
      </c>
      <c r="AF78" s="18">
        <f t="shared" si="84"/>
        <v>-1163.8327224451061</v>
      </c>
      <c r="AG78" s="18">
        <f t="shared" si="85"/>
        <v>-682.90267888759865</v>
      </c>
      <c r="AH78" s="18">
        <f t="shared" si="86"/>
        <v>-25897.93167667717</v>
      </c>
      <c r="AI78" s="18">
        <f t="shared" si="87"/>
        <v>-28868.272664473265</v>
      </c>
      <c r="AJ78" s="18">
        <f t="shared" si="88"/>
        <v>-31073.280599038488</v>
      </c>
    </row>
    <row r="79" spans="6:36" x14ac:dyDescent="0.4">
      <c r="F79">
        <v>41700</v>
      </c>
      <c r="G79" s="6">
        <f t="shared" si="60"/>
        <v>-0.70997886730655879</v>
      </c>
      <c r="H79" s="6">
        <f t="shared" si="61"/>
        <v>-1.0205418672704856</v>
      </c>
      <c r="I79" s="6">
        <f t="shared" si="62"/>
        <v>-1.3350114224419896</v>
      </c>
      <c r="J79">
        <f t="shared" si="63"/>
        <v>-0.74997886730655883</v>
      </c>
      <c r="K79">
        <f t="shared" si="64"/>
        <v>-1.0605418672704856</v>
      </c>
      <c r="L79">
        <f t="shared" si="35"/>
        <v>-1.3750114224419896</v>
      </c>
      <c r="M79" s="8">
        <f t="shared" si="65"/>
        <v>0.23412890296912051</v>
      </c>
      <c r="N79" s="8">
        <f t="shared" si="66"/>
        <v>0.15069159959590631</v>
      </c>
      <c r="O79" s="8">
        <f t="shared" si="67"/>
        <v>8.9135644541137801E-2</v>
      </c>
      <c r="P79" s="8">
        <f t="shared" si="68"/>
        <v>-0.74606977033763477</v>
      </c>
      <c r="Q79" s="8">
        <f t="shared" si="69"/>
        <v>-0.82950707371084897</v>
      </c>
      <c r="R79" s="8">
        <f t="shared" si="70"/>
        <v>-0.89106302876561749</v>
      </c>
      <c r="S79" s="10">
        <f t="shared" si="71"/>
        <v>1.8760817277505576E-4</v>
      </c>
      <c r="T79" s="10">
        <f t="shared" si="72"/>
        <v>1.4519247342130833E-4</v>
      </c>
      <c r="U79" s="10">
        <f t="shared" si="73"/>
        <v>1.0152084529022242E-4</v>
      </c>
      <c r="V79" s="12">
        <f t="shared" si="74"/>
        <v>12308.972215771408</v>
      </c>
      <c r="W79" s="12">
        <f t="shared" si="75"/>
        <v>9292.3182989637316</v>
      </c>
      <c r="X79" s="12">
        <f t="shared" si="76"/>
        <v>6335.9159545627808</v>
      </c>
      <c r="Y79" s="14">
        <f t="shared" si="77"/>
        <v>-238.13626538979548</v>
      </c>
      <c r="Z79" s="14">
        <f t="shared" si="78"/>
        <v>-237.43830202053078</v>
      </c>
      <c r="AA79" s="14">
        <f t="shared" si="79"/>
        <v>-236.74033865126606</v>
      </c>
      <c r="AB79" s="16">
        <f t="shared" si="80"/>
        <v>-230.79879851522981</v>
      </c>
      <c r="AC79" s="16">
        <f t="shared" si="81"/>
        <v>-220.29884841289743</v>
      </c>
      <c r="AD79" s="16">
        <f t="shared" si="82"/>
        <v>-209.79889831056528</v>
      </c>
      <c r="AE79" s="18">
        <f t="shared" si="83"/>
        <v>-1707.1081896640187</v>
      </c>
      <c r="AF79" s="18">
        <f t="shared" si="84"/>
        <v>-1072.0562164358018</v>
      </c>
      <c r="AG79" s="18">
        <f t="shared" si="85"/>
        <v>-619.72639346811957</v>
      </c>
      <c r="AH79" s="18">
        <f t="shared" si="86"/>
        <v>-26531.841185151072</v>
      </c>
      <c r="AI79" s="18">
        <f t="shared" si="87"/>
        <v>-29351.345798335984</v>
      </c>
      <c r="AJ79" s="18">
        <f t="shared" si="88"/>
        <v>-31405.821999829608</v>
      </c>
    </row>
    <row r="80" spans="6:36" x14ac:dyDescent="0.4">
      <c r="F80">
        <v>41800</v>
      </c>
      <c r="G80" s="6">
        <f t="shared" si="60"/>
        <v>-0.76985913545542928</v>
      </c>
      <c r="H80" s="6">
        <f t="shared" si="61"/>
        <v>-1.0804221354193582</v>
      </c>
      <c r="I80" s="6">
        <f t="shared" si="62"/>
        <v>-1.3948916905908613</v>
      </c>
      <c r="J80">
        <f t="shared" si="63"/>
        <v>-0.80985913545542931</v>
      </c>
      <c r="K80">
        <f t="shared" si="64"/>
        <v>-1.1204221354193582</v>
      </c>
      <c r="L80">
        <f t="shared" si="35"/>
        <v>-1.4348916905908613</v>
      </c>
      <c r="M80" s="8">
        <f t="shared" si="65"/>
        <v>0.21632173928307244</v>
      </c>
      <c r="N80" s="8">
        <f t="shared" si="66"/>
        <v>0.13720538887143954</v>
      </c>
      <c r="O80" s="8">
        <f t="shared" si="67"/>
        <v>7.990996328111985E-2</v>
      </c>
      <c r="P80" s="8">
        <f t="shared" si="68"/>
        <v>-0.76387693402368284</v>
      </c>
      <c r="Q80" s="8">
        <f t="shared" si="69"/>
        <v>-0.84299328443531574</v>
      </c>
      <c r="R80" s="8">
        <f t="shared" si="70"/>
        <v>-0.90028871002563537</v>
      </c>
      <c r="S80" s="10">
        <f t="shared" si="71"/>
        <v>1.794773564950359E-4</v>
      </c>
      <c r="T80" s="10">
        <f t="shared" si="72"/>
        <v>1.3634073013606195E-4</v>
      </c>
      <c r="U80" s="10">
        <f t="shared" si="73"/>
        <v>9.3553221148358988E-5</v>
      </c>
      <c r="V80" s="12">
        <f t="shared" si="74"/>
        <v>11775.509359639305</v>
      </c>
      <c r="W80" s="12">
        <f t="shared" si="75"/>
        <v>8725.8067287079666</v>
      </c>
      <c r="X80" s="12">
        <f t="shared" si="76"/>
        <v>5838.6565318690846</v>
      </c>
      <c r="Y80" s="14">
        <f t="shared" si="77"/>
        <v>-228.17104259171069</v>
      </c>
      <c r="Z80" s="14">
        <f t="shared" si="78"/>
        <v>-227.42672680932179</v>
      </c>
      <c r="AA80" s="14">
        <f t="shared" si="79"/>
        <v>-226.68241102693298</v>
      </c>
      <c r="AB80" s="16">
        <f t="shared" si="80"/>
        <v>-218.91199683884042</v>
      </c>
      <c r="AC80" s="16">
        <f t="shared" si="81"/>
        <v>-208.36569432338388</v>
      </c>
      <c r="AD80" s="16">
        <f t="shared" si="82"/>
        <v>-197.81939180792745</v>
      </c>
      <c r="AE80" s="18">
        <f t="shared" si="83"/>
        <v>-1590.514511972058</v>
      </c>
      <c r="AF80" s="18">
        <f t="shared" si="84"/>
        <v>-984.8461127451319</v>
      </c>
      <c r="AG80" s="18">
        <f t="shared" si="85"/>
        <v>-560.81436856861012</v>
      </c>
      <c r="AH80" s="18">
        <f t="shared" si="86"/>
        <v>-27136.43763674406</v>
      </c>
      <c r="AI80" s="18">
        <f t="shared" si="87"/>
        <v>-29803.584123623983</v>
      </c>
      <c r="AJ80" s="18">
        <f t="shared" si="88"/>
        <v>-31711.324384700809</v>
      </c>
    </row>
    <row r="81" spans="6:36" x14ac:dyDescent="0.4">
      <c r="F81">
        <v>41900</v>
      </c>
      <c r="G81" s="6">
        <f t="shared" si="60"/>
        <v>-0.82959632038996534</v>
      </c>
      <c r="H81" s="6">
        <f t="shared" si="61"/>
        <v>-1.1401593203538949</v>
      </c>
      <c r="I81" s="6">
        <f t="shared" si="62"/>
        <v>-1.4546288755253955</v>
      </c>
      <c r="J81">
        <f t="shared" si="63"/>
        <v>-0.86959632038996537</v>
      </c>
      <c r="K81">
        <f t="shared" si="64"/>
        <v>-1.1801593203538949</v>
      </c>
      <c r="L81">
        <f t="shared" si="35"/>
        <v>-1.4946288755253956</v>
      </c>
      <c r="M81" s="8">
        <f t="shared" si="65"/>
        <v>0.19935626524259872</v>
      </c>
      <c r="N81" s="8">
        <f t="shared" si="66"/>
        <v>0.12459301994491784</v>
      </c>
      <c r="O81" s="8">
        <f t="shared" si="67"/>
        <v>7.1442776451974124E-2</v>
      </c>
      <c r="P81" s="8">
        <f t="shared" si="68"/>
        <v>-0.7808424080641565</v>
      </c>
      <c r="Q81" s="8">
        <f t="shared" si="69"/>
        <v>-0.85560565336183747</v>
      </c>
      <c r="R81" s="8">
        <f t="shared" si="70"/>
        <v>-0.90875589685478109</v>
      </c>
      <c r="S81" s="10">
        <f t="shared" si="71"/>
        <v>1.7110468619079455E-4</v>
      </c>
      <c r="T81" s="10">
        <f t="shared" si="72"/>
        <v>1.2759120964864895E-4</v>
      </c>
      <c r="U81" s="10">
        <f t="shared" si="73"/>
        <v>8.5920230714575066E-5</v>
      </c>
      <c r="V81" s="12">
        <f t="shared" si="74"/>
        <v>11226.178460978032</v>
      </c>
      <c r="W81" s="12">
        <f t="shared" si="75"/>
        <v>8165.8374175135323</v>
      </c>
      <c r="X81" s="12">
        <f t="shared" si="76"/>
        <v>5362.2815988966295</v>
      </c>
      <c r="Y81" s="14">
        <f t="shared" si="77"/>
        <v>-217.841931217629</v>
      </c>
      <c r="Z81" s="14">
        <f t="shared" si="78"/>
        <v>-217.06359795376409</v>
      </c>
      <c r="AA81" s="14">
        <f t="shared" si="79"/>
        <v>-216.28526468989924</v>
      </c>
      <c r="AB81" s="16">
        <f t="shared" si="80"/>
        <v>-206.66130658645409</v>
      </c>
      <c r="AC81" s="16">
        <f t="shared" si="81"/>
        <v>-196.08098658952167</v>
      </c>
      <c r="AD81" s="16">
        <f t="shared" si="82"/>
        <v>-185.50066659258925</v>
      </c>
      <c r="AE81" s="18">
        <f t="shared" si="83"/>
        <v>-1478.0558496874462</v>
      </c>
      <c r="AF81" s="18">
        <f t="shared" si="84"/>
        <v>-902.27648008267226</v>
      </c>
      <c r="AG81" s="18">
        <f t="shared" si="85"/>
        <v>-506.07602695840717</v>
      </c>
      <c r="AH81" s="18">
        <f t="shared" si="86"/>
        <v>-27711.08067309863</v>
      </c>
      <c r="AI81" s="18">
        <f t="shared" si="87"/>
        <v>-30225.50924802239</v>
      </c>
      <c r="AJ81" s="18">
        <f t="shared" si="88"/>
        <v>-31991.039922841865</v>
      </c>
    </row>
    <row r="82" spans="6:36" x14ac:dyDescent="0.4">
      <c r="F82">
        <v>42000</v>
      </c>
      <c r="G82" s="6">
        <f t="shared" si="60"/>
        <v>-0.88919110427187076</v>
      </c>
      <c r="H82" s="6">
        <f t="shared" si="61"/>
        <v>-1.1997541042358013</v>
      </c>
      <c r="I82" s="6">
        <f t="shared" si="62"/>
        <v>-1.5142236594073031</v>
      </c>
      <c r="J82">
        <f t="shared" si="63"/>
        <v>-0.92919110427187079</v>
      </c>
      <c r="K82">
        <f t="shared" si="64"/>
        <v>-1.2397541042358013</v>
      </c>
      <c r="L82">
        <f t="shared" si="35"/>
        <v>-1.5542236594073031</v>
      </c>
      <c r="M82" s="8">
        <f t="shared" si="65"/>
        <v>0.18324832961211243</v>
      </c>
      <c r="N82" s="8">
        <f t="shared" si="66"/>
        <v>0.11283794901909433</v>
      </c>
      <c r="O82" s="8">
        <f t="shared" si="67"/>
        <v>6.3697780947615509E-2</v>
      </c>
      <c r="P82" s="8">
        <f t="shared" si="68"/>
        <v>-0.79695034369464279</v>
      </c>
      <c r="Q82" s="8">
        <f t="shared" si="69"/>
        <v>-0.86736072428766087</v>
      </c>
      <c r="R82" s="8">
        <f t="shared" si="70"/>
        <v>-0.91650089235913978</v>
      </c>
      <c r="S82" s="10">
        <f t="shared" si="71"/>
        <v>1.6256211690016717E-4</v>
      </c>
      <c r="T82" s="10">
        <f t="shared" si="72"/>
        <v>1.1899817551846648E-4</v>
      </c>
      <c r="U82" s="10">
        <f t="shared" si="73"/>
        <v>7.8645880726029301E-5</v>
      </c>
      <c r="V82" s="12">
        <f t="shared" si="74"/>
        <v>10665.700489819968</v>
      </c>
      <c r="W82" s="12">
        <f t="shared" si="75"/>
        <v>7615.8832331818539</v>
      </c>
      <c r="X82" s="12">
        <f t="shared" si="76"/>
        <v>4908.2894161114882</v>
      </c>
      <c r="Y82" s="14">
        <f t="shared" si="77"/>
        <v>-207.24478633221776</v>
      </c>
      <c r="Z82" s="14">
        <f t="shared" si="78"/>
        <v>-206.44376333455617</v>
      </c>
      <c r="AA82" s="14">
        <f t="shared" si="79"/>
        <v>-205.6427403368946</v>
      </c>
      <c r="AB82" s="16">
        <f t="shared" si="80"/>
        <v>-194.14258282273795</v>
      </c>
      <c r="AC82" s="16">
        <f t="shared" si="81"/>
        <v>-183.53957309200882</v>
      </c>
      <c r="AD82" s="16">
        <f t="shared" si="82"/>
        <v>-172.9365633612797</v>
      </c>
      <c r="AE82" s="18">
        <f t="shared" si="83"/>
        <v>-1369.9813015591817</v>
      </c>
      <c r="AF82" s="18">
        <f t="shared" si="84"/>
        <v>-824.3821716803111</v>
      </c>
      <c r="AG82" s="18">
        <f t="shared" si="85"/>
        <v>-455.39672705971856</v>
      </c>
      <c r="AH82" s="18">
        <f t="shared" si="86"/>
        <v>-28255.377518005062</v>
      </c>
      <c r="AI82" s="18">
        <f t="shared" si="87"/>
        <v>-30617.81777665297</v>
      </c>
      <c r="AJ82" s="18">
        <f t="shared" si="88"/>
        <v>-32246.28794536534</v>
      </c>
    </row>
    <row r="83" spans="6:36" x14ac:dyDescent="0.4">
      <c r="F83">
        <v>42100</v>
      </c>
      <c r="G83" s="6">
        <f t="shared" si="60"/>
        <v>-0.94864416439605725</v>
      </c>
      <c r="H83" s="6">
        <f t="shared" si="61"/>
        <v>-1.2592071643599871</v>
      </c>
      <c r="I83" s="6">
        <f t="shared" si="62"/>
        <v>-1.5736767195314885</v>
      </c>
      <c r="J83">
        <f t="shared" si="63"/>
        <v>-0.98864416439605729</v>
      </c>
      <c r="K83">
        <f t="shared" si="64"/>
        <v>-1.2992071643599872</v>
      </c>
      <c r="L83">
        <f t="shared" si="35"/>
        <v>-1.6136767195314885</v>
      </c>
      <c r="M83" s="8">
        <f t="shared" si="65"/>
        <v>0.16800684701038396</v>
      </c>
      <c r="N83" s="8">
        <f t="shared" si="66"/>
        <v>0.10191885970558735</v>
      </c>
      <c r="O83" s="8">
        <f t="shared" si="67"/>
        <v>5.6636960808574943E-2</v>
      </c>
      <c r="P83" s="8">
        <f t="shared" si="68"/>
        <v>-0.81219182629637132</v>
      </c>
      <c r="Q83" s="8">
        <f t="shared" si="69"/>
        <v>-0.87827981360116791</v>
      </c>
      <c r="R83" s="8">
        <f t="shared" si="70"/>
        <v>-0.92356171249818031</v>
      </c>
      <c r="S83" s="10">
        <f t="shared" si="71"/>
        <v>1.5391918950473233E-4</v>
      </c>
      <c r="T83" s="10">
        <f t="shared" si="72"/>
        <v>1.1061014094264865E-4</v>
      </c>
      <c r="U83" s="10">
        <f t="shared" si="73"/>
        <v>7.1748194455576659E-5</v>
      </c>
      <c r="V83" s="12">
        <f t="shared" si="74"/>
        <v>10098.638023405487</v>
      </c>
      <c r="W83" s="12">
        <f t="shared" si="75"/>
        <v>7079.049020329514</v>
      </c>
      <c r="X83" s="12">
        <f t="shared" si="76"/>
        <v>4477.8048159725395</v>
      </c>
      <c r="Y83" s="14">
        <f t="shared" si="77"/>
        <v>-196.47242167880714</v>
      </c>
      <c r="Z83" s="14">
        <f t="shared" si="78"/>
        <v>-195.65899927893432</v>
      </c>
      <c r="AA83" s="14">
        <f t="shared" si="79"/>
        <v>-194.8455768790615</v>
      </c>
      <c r="AB83" s="16">
        <f t="shared" si="80"/>
        <v>-181.4486392910228</v>
      </c>
      <c r="AC83" s="16">
        <f t="shared" si="81"/>
        <v>-170.83323015808253</v>
      </c>
      <c r="AD83" s="16">
        <f t="shared" si="82"/>
        <v>-160.21782102514214</v>
      </c>
      <c r="AE83" s="18">
        <f t="shared" si="83"/>
        <v>-1266.495687245133</v>
      </c>
      <c r="AF83" s="18">
        <f t="shared" si="84"/>
        <v>-751.16106872715579</v>
      </c>
      <c r="AG83" s="18">
        <f t="shared" si="85"/>
        <v>-408.6410752660039</v>
      </c>
      <c r="AH83" s="18">
        <f t="shared" si="86"/>
        <v>-28769.171949061016</v>
      </c>
      <c r="AI83" s="18">
        <f t="shared" si="87"/>
        <v>-30981.360246240092</v>
      </c>
      <c r="AJ83" s="18">
        <f t="shared" si="88"/>
        <v>-32478.434689063724</v>
      </c>
    </row>
    <row r="84" spans="6:36" x14ac:dyDescent="0.4">
      <c r="F84">
        <v>42200</v>
      </c>
      <c r="G84" s="6">
        <f t="shared" si="60"/>
        <v>-1.0079561732368172</v>
      </c>
      <c r="H84" s="6">
        <f t="shared" si="61"/>
        <v>-1.3185191732007451</v>
      </c>
      <c r="I84" s="6">
        <f t="shared" si="62"/>
        <v>-1.6329887283722497</v>
      </c>
      <c r="J84">
        <f t="shared" si="63"/>
        <v>-1.0479561732368172</v>
      </c>
      <c r="K84">
        <f t="shared" si="64"/>
        <v>-1.3585191732007451</v>
      </c>
      <c r="L84">
        <f t="shared" si="35"/>
        <v>-1.6729887283722498</v>
      </c>
      <c r="M84" s="8">
        <f t="shared" si="65"/>
        <v>0.15363413588673372</v>
      </c>
      <c r="N84" s="8">
        <f t="shared" si="66"/>
        <v>9.1810265126511512E-2</v>
      </c>
      <c r="O84" s="8">
        <f t="shared" si="67"/>
        <v>5.0221149146407337E-2</v>
      </c>
      <c r="P84" s="8">
        <f t="shared" si="68"/>
        <v>-0.82656453742002156</v>
      </c>
      <c r="Q84" s="8">
        <f t="shared" si="69"/>
        <v>-0.88838840818024378</v>
      </c>
      <c r="R84" s="8">
        <f t="shared" si="70"/>
        <v>-0.92997752416034796</v>
      </c>
      <c r="S84" s="10">
        <f t="shared" si="71"/>
        <v>1.4524221149974368E-4</v>
      </c>
      <c r="T84" s="10">
        <f t="shared" si="72"/>
        <v>1.0246965556520792E-4</v>
      </c>
      <c r="U84" s="10">
        <f t="shared" si="73"/>
        <v>6.5239545115057412E-5</v>
      </c>
      <c r="V84" s="12">
        <f t="shared" si="74"/>
        <v>9529.3414964981821</v>
      </c>
      <c r="W84" s="12">
        <f t="shared" si="75"/>
        <v>6558.0579561733075</v>
      </c>
      <c r="X84" s="12">
        <f t="shared" si="76"/>
        <v>4071.6000106307329</v>
      </c>
      <c r="Y84" s="14">
        <f t="shared" si="77"/>
        <v>-185.61351638525531</v>
      </c>
      <c r="Z84" s="14">
        <f t="shared" si="78"/>
        <v>-184.79693391782683</v>
      </c>
      <c r="AA84" s="14">
        <f t="shared" si="79"/>
        <v>-183.9803514503983</v>
      </c>
      <c r="AB84" s="16">
        <f t="shared" si="80"/>
        <v>-168.6681551191665</v>
      </c>
      <c r="AC84" s="16">
        <f t="shared" si="81"/>
        <v>-158.04958591867035</v>
      </c>
      <c r="AD84" s="16">
        <f t="shared" si="82"/>
        <v>-147.43101671817431</v>
      </c>
      <c r="AE84" s="18">
        <f t="shared" si="83"/>
        <v>-1167.7596248381685</v>
      </c>
      <c r="AF84" s="18">
        <f t="shared" si="84"/>
        <v>-682.57670504220118</v>
      </c>
      <c r="AG84" s="18">
        <f t="shared" si="85"/>
        <v>-365.65624567837773</v>
      </c>
      <c r="AH84" s="18">
        <f t="shared" si="86"/>
        <v>-29252.530687161885</v>
      </c>
      <c r="AI84" s="18">
        <f t="shared" si="87"/>
        <v>-31317.119665718175</v>
      </c>
      <c r="AJ84" s="18">
        <f t="shared" si="88"/>
        <v>-32688.874420131717</v>
      </c>
    </row>
    <row r="85" spans="6:36" x14ac:dyDescent="0.4">
      <c r="F85">
        <v>42300</v>
      </c>
      <c r="G85" s="6">
        <f t="shared" si="60"/>
        <v>-1.0671277984934695</v>
      </c>
      <c r="H85" s="6">
        <f t="shared" si="61"/>
        <v>-1.3776907984573985</v>
      </c>
      <c r="I85" s="6">
        <f t="shared" si="62"/>
        <v>-1.6921603536289023</v>
      </c>
      <c r="J85">
        <f t="shared" si="63"/>
        <v>-1.1071277984934695</v>
      </c>
      <c r="K85">
        <f t="shared" si="64"/>
        <v>-1.4176907984573985</v>
      </c>
      <c r="L85">
        <f t="shared" si="35"/>
        <v>-1.7321603536289023</v>
      </c>
      <c r="M85" s="8">
        <f t="shared" si="65"/>
        <v>0.14012632571917005</v>
      </c>
      <c r="N85" s="8">
        <f t="shared" si="66"/>
        <v>8.248311725540923E-2</v>
      </c>
      <c r="O85" s="8">
        <f t="shared" si="67"/>
        <v>4.4410549156077492E-2</v>
      </c>
      <c r="P85" s="8">
        <f t="shared" si="68"/>
        <v>-0.8400723475875852</v>
      </c>
      <c r="Q85" s="8">
        <f t="shared" si="69"/>
        <v>-0.89771555605134601</v>
      </c>
      <c r="R85" s="8">
        <f t="shared" si="70"/>
        <v>-0.9357881241506778</v>
      </c>
      <c r="S85" s="10">
        <f t="shared" si="71"/>
        <v>1.3659354993275942E-4</v>
      </c>
      <c r="T85" s="10">
        <f t="shared" si="72"/>
        <v>9.4613213931526923E-5</v>
      </c>
      <c r="U85" s="10">
        <f t="shared" si="73"/>
        <v>5.9127052898785102E-5</v>
      </c>
      <c r="V85" s="12">
        <f t="shared" si="74"/>
        <v>8961.9028110883446</v>
      </c>
      <c r="W85" s="12">
        <f t="shared" si="75"/>
        <v>6055.2456916177234</v>
      </c>
      <c r="X85" s="12">
        <f t="shared" si="76"/>
        <v>3690.1193714131782</v>
      </c>
      <c r="Y85" s="14">
        <f t="shared" si="77"/>
        <v>-174.75166857220248</v>
      </c>
      <c r="Z85" s="14">
        <f t="shared" si="78"/>
        <v>-173.94011632048347</v>
      </c>
      <c r="AA85" s="14">
        <f t="shared" si="79"/>
        <v>-173.12856406876446</v>
      </c>
      <c r="AB85" s="16">
        <f t="shared" si="80"/>
        <v>-155.88472842780891</v>
      </c>
      <c r="AC85" s="16">
        <f t="shared" si="81"/>
        <v>-145.27118944302242</v>
      </c>
      <c r="AD85" s="16">
        <f t="shared" si="82"/>
        <v>-134.65765045823582</v>
      </c>
      <c r="AE85" s="18">
        <f t="shared" si="83"/>
        <v>-1073.8902504507771</v>
      </c>
      <c r="AF85" s="18">
        <f t="shared" si="84"/>
        <v>-618.56119531735396</v>
      </c>
      <c r="AG85" s="18">
        <f t="shared" si="85"/>
        <v>-326.27524589317039</v>
      </c>
      <c r="AH85" s="18">
        <f t="shared" si="86"/>
        <v>-29705.727624560826</v>
      </c>
      <c r="AI85" s="18">
        <f t="shared" si="87"/>
        <v>-31626.190070837416</v>
      </c>
      <c r="AJ85" s="18">
        <f t="shared" si="88"/>
        <v>-32879.012119964544</v>
      </c>
    </row>
    <row r="86" spans="6:36" x14ac:dyDescent="0.4">
      <c r="F86">
        <v>42400</v>
      </c>
      <c r="G86" s="6">
        <f t="shared" si="60"/>
        <v>-1.1261597031354644</v>
      </c>
      <c r="H86" s="6">
        <f t="shared" si="61"/>
        <v>-1.4367227030993939</v>
      </c>
      <c r="I86" s="6">
        <f t="shared" si="62"/>
        <v>-1.7511922582708976</v>
      </c>
      <c r="J86">
        <f t="shared" si="63"/>
        <v>-1.1661597031354645</v>
      </c>
      <c r="K86">
        <f t="shared" si="64"/>
        <v>-1.4767227030993939</v>
      </c>
      <c r="L86">
        <f t="shared" si="35"/>
        <v>-1.7911922582708977</v>
      </c>
      <c r="M86" s="8">
        <f t="shared" si="65"/>
        <v>0.12747382138868812</v>
      </c>
      <c r="N86" s="8">
        <f t="shared" si="66"/>
        <v>7.3905412316343511E-2</v>
      </c>
      <c r="O86" s="8">
        <f t="shared" si="67"/>
        <v>3.9165209562287452E-2</v>
      </c>
      <c r="P86" s="8">
        <f t="shared" si="68"/>
        <v>-0.85272485191806713</v>
      </c>
      <c r="Q86" s="8">
        <f t="shared" si="69"/>
        <v>-0.90629326099041174</v>
      </c>
      <c r="R86" s="8">
        <f t="shared" si="70"/>
        <v>-0.94103346374446784</v>
      </c>
      <c r="S86" s="10">
        <f t="shared" si="71"/>
        <v>1.2803104301242296E-4</v>
      </c>
      <c r="T86" s="10">
        <f t="shared" si="72"/>
        <v>8.7071276533101207E-5</v>
      </c>
      <c r="U86" s="10">
        <f t="shared" si="73"/>
        <v>5.34130306587336E-5</v>
      </c>
      <c r="V86" s="12">
        <f t="shared" si="74"/>
        <v>8400.1167320450695</v>
      </c>
      <c r="W86" s="12">
        <f t="shared" si="75"/>
        <v>5572.5616981184767</v>
      </c>
      <c r="X86" s="12">
        <f t="shared" si="76"/>
        <v>3333.5072434115636</v>
      </c>
      <c r="Y86" s="14">
        <f t="shared" si="77"/>
        <v>-163.96460469707336</v>
      </c>
      <c r="Z86" s="14">
        <f t="shared" si="78"/>
        <v>-163.165240014159</v>
      </c>
      <c r="AA86" s="14">
        <f t="shared" si="79"/>
        <v>-162.36587533124467</v>
      </c>
      <c r="AB86" s="16">
        <f t="shared" si="80"/>
        <v>-143.17608567437526</v>
      </c>
      <c r="AC86" s="16">
        <f t="shared" si="81"/>
        <v>-132.57473425839328</v>
      </c>
      <c r="AD86" s="16">
        <f t="shared" si="82"/>
        <v>-121.9733828424113</v>
      </c>
      <c r="AE86" s="18">
        <f t="shared" si="83"/>
        <v>-984.96252581017188</v>
      </c>
      <c r="AF86" s="18">
        <f t="shared" si="84"/>
        <v>-559.01838911940979</v>
      </c>
      <c r="AG86" s="18">
        <f t="shared" si="85"/>
        <v>-290.32007481464177</v>
      </c>
      <c r="AH86" s="18">
        <f t="shared" si="86"/>
        <v>-30129.226325304735</v>
      </c>
      <c r="AI86" s="18">
        <f t="shared" si="87"/>
        <v>-31909.755462202102</v>
      </c>
      <c r="AJ86" s="18">
        <f t="shared" si="88"/>
        <v>-33050.247862840719</v>
      </c>
    </row>
    <row r="87" spans="6:36" x14ac:dyDescent="0.4">
      <c r="F87">
        <v>42500</v>
      </c>
      <c r="G87" s="6">
        <f t="shared" si="60"/>
        <v>-1.1850525454469436</v>
      </c>
      <c r="H87" s="6">
        <f t="shared" si="61"/>
        <v>-1.4956155454108713</v>
      </c>
      <c r="I87" s="6">
        <f t="shared" si="62"/>
        <v>-1.8100851005823735</v>
      </c>
      <c r="J87">
        <f t="shared" si="63"/>
        <v>-1.2250525454469436</v>
      </c>
      <c r="K87">
        <f t="shared" si="64"/>
        <v>-1.5356155454108713</v>
      </c>
      <c r="L87">
        <f t="shared" si="35"/>
        <v>-1.8500851005823735</v>
      </c>
      <c r="M87" s="8">
        <f t="shared" si="65"/>
        <v>0.1156618124242898</v>
      </c>
      <c r="N87" s="8">
        <f t="shared" si="66"/>
        <v>6.6042782188712942E-2</v>
      </c>
      <c r="O87" s="8">
        <f t="shared" si="67"/>
        <v>3.4445451298394159E-2</v>
      </c>
      <c r="P87" s="8">
        <f t="shared" si="68"/>
        <v>-0.86453686088246551</v>
      </c>
      <c r="Q87" s="8">
        <f t="shared" si="69"/>
        <v>-0.9141558911180423</v>
      </c>
      <c r="R87" s="8">
        <f t="shared" si="70"/>
        <v>-0.94575322200836109</v>
      </c>
      <c r="S87" s="10">
        <f t="shared" si="71"/>
        <v>1.1960753351612276E-4</v>
      </c>
      <c r="T87" s="10">
        <f t="shared" si="72"/>
        <v>7.9868392533794872E-5</v>
      </c>
      <c r="U87" s="10">
        <f t="shared" si="73"/>
        <v>4.8095463708199252E-5</v>
      </c>
      <c r="V87" s="12">
        <f t="shared" si="74"/>
        <v>7847.4502739928139</v>
      </c>
      <c r="W87" s="12">
        <f t="shared" si="75"/>
        <v>5111.577122162872</v>
      </c>
      <c r="X87" s="12">
        <f t="shared" si="76"/>
        <v>3001.637890028715</v>
      </c>
      <c r="Y87" s="14">
        <f t="shared" si="77"/>
        <v>-153.32354902126988</v>
      </c>
      <c r="Z87" s="14">
        <f t="shared" si="78"/>
        <v>-152.54252510255162</v>
      </c>
      <c r="AA87" s="14">
        <f t="shared" si="79"/>
        <v>-151.76150118383333</v>
      </c>
      <c r="AB87" s="16">
        <f t="shared" si="80"/>
        <v>-130.61345112026697</v>
      </c>
      <c r="AC87" s="16">
        <f t="shared" si="81"/>
        <v>-120.03044046848106</v>
      </c>
      <c r="AD87" s="16">
        <f t="shared" si="82"/>
        <v>-109.44742981669538</v>
      </c>
      <c r="AE87" s="18">
        <f t="shared" si="83"/>
        <v>-901.01107081913449</v>
      </c>
      <c r="AF87" s="18">
        <f t="shared" si="84"/>
        <v>-503.82717467196233</v>
      </c>
      <c r="AG87" s="18">
        <f t="shared" si="85"/>
        <v>-257.60472639596981</v>
      </c>
      <c r="AH87" s="18">
        <f t="shared" si="86"/>
        <v>-30523.661233371833</v>
      </c>
      <c r="AI87" s="18">
        <f t="shared" si="87"/>
        <v>-32169.06945285988</v>
      </c>
      <c r="AJ87" s="18">
        <f t="shared" si="88"/>
        <v>-33203.962965845829</v>
      </c>
    </row>
    <row r="88" spans="6:36" x14ac:dyDescent="0.4">
      <c r="F88">
        <v>42600</v>
      </c>
      <c r="G88" s="6">
        <f t="shared" si="60"/>
        <v>-1.2438069790707831</v>
      </c>
      <c r="H88" s="6">
        <f t="shared" si="61"/>
        <v>-1.5543699790347105</v>
      </c>
      <c r="I88" s="6">
        <f t="shared" si="62"/>
        <v>-1.8688395342062152</v>
      </c>
      <c r="J88">
        <f t="shared" si="63"/>
        <v>-1.2838069790707831</v>
      </c>
      <c r="K88">
        <f t="shared" si="64"/>
        <v>-1.5943699790347106</v>
      </c>
      <c r="L88">
        <f t="shared" si="35"/>
        <v>-1.9088395342062152</v>
      </c>
      <c r="M88" s="8">
        <f t="shared" si="65"/>
        <v>0.10467081487107162</v>
      </c>
      <c r="N88" s="8">
        <f t="shared" si="66"/>
        <v>5.885906302440224E-2</v>
      </c>
      <c r="O88" s="8">
        <f t="shared" si="67"/>
        <v>3.0212243578833547E-2</v>
      </c>
      <c r="P88" s="8">
        <f t="shared" si="68"/>
        <v>-0.87552785843568359</v>
      </c>
      <c r="Q88" s="8">
        <f t="shared" si="69"/>
        <v>-0.92133961028235301</v>
      </c>
      <c r="R88" s="8">
        <f t="shared" si="70"/>
        <v>-0.94998642972792169</v>
      </c>
      <c r="S88" s="10">
        <f t="shared" si="71"/>
        <v>1.1137052394535879E-4</v>
      </c>
      <c r="T88" s="10">
        <f t="shared" si="72"/>
        <v>7.3023411898467749E-5</v>
      </c>
      <c r="U88" s="10">
        <f t="shared" si="73"/>
        <v>4.3168510093679383E-5</v>
      </c>
      <c r="V88" s="12">
        <f t="shared" si="74"/>
        <v>7307.0200760549906</v>
      </c>
      <c r="W88" s="12">
        <f t="shared" si="75"/>
        <v>4673.4983615019364</v>
      </c>
      <c r="X88" s="12">
        <f t="shared" si="76"/>
        <v>2694.1467149465307</v>
      </c>
      <c r="Y88" s="14">
        <f t="shared" si="77"/>
        <v>-142.89275339022572</v>
      </c>
      <c r="Z88" s="14">
        <f t="shared" si="78"/>
        <v>-142.13525905102165</v>
      </c>
      <c r="AA88" s="14">
        <f t="shared" si="79"/>
        <v>-141.37776471181752</v>
      </c>
      <c r="AB88" s="16">
        <f t="shared" si="80"/>
        <v>-118.26107661091805</v>
      </c>
      <c r="AC88" s="16">
        <f t="shared" si="81"/>
        <v>-107.70159553864653</v>
      </c>
      <c r="AD88" s="16">
        <f t="shared" si="82"/>
        <v>-97.142114466374892</v>
      </c>
      <c r="AE88" s="18">
        <f t="shared" si="83"/>
        <v>-822.03245129340041</v>
      </c>
      <c r="AF88" s="18">
        <f t="shared" si="84"/>
        <v>-452.84486000995508</v>
      </c>
      <c r="AG88" s="18">
        <f t="shared" si="85"/>
        <v>-227.93800143677291</v>
      </c>
      <c r="AH88" s="18">
        <f t="shared" si="86"/>
        <v>-30889.818014751436</v>
      </c>
      <c r="AI88" s="18">
        <f t="shared" si="87"/>
        <v>-32405.4359047703</v>
      </c>
      <c r="AJ88" s="18">
        <f t="shared" si="88"/>
        <v>-33341.50794580928</v>
      </c>
    </row>
    <row r="89" spans="6:36" x14ac:dyDescent="0.4">
      <c r="F89">
        <v>42700</v>
      </c>
      <c r="G89" s="6">
        <f t="shared" si="60"/>
        <v>-1.3024236530521338</v>
      </c>
      <c r="H89" s="6">
        <f t="shared" si="61"/>
        <v>-1.6129866530160633</v>
      </c>
      <c r="I89" s="6">
        <f t="shared" si="62"/>
        <v>-1.9274562081875664</v>
      </c>
      <c r="J89">
        <f t="shared" si="63"/>
        <v>-1.3424236530521338</v>
      </c>
      <c r="K89">
        <f t="shared" si="64"/>
        <v>-1.6529866530160633</v>
      </c>
      <c r="L89">
        <f t="shared" si="35"/>
        <v>-1.9674562081875664</v>
      </c>
      <c r="M89" s="8">
        <f t="shared" si="65"/>
        <v>9.4477233879973505E-2</v>
      </c>
      <c r="N89" s="8">
        <f t="shared" si="66"/>
        <v>5.2316833625435752E-2</v>
      </c>
      <c r="O89" s="8">
        <f t="shared" si="67"/>
        <v>2.6427528771562004E-2</v>
      </c>
      <c r="P89" s="8">
        <f t="shared" si="68"/>
        <v>-0.88572143942678172</v>
      </c>
      <c r="Q89" s="8">
        <f t="shared" si="69"/>
        <v>-0.92788183968131954</v>
      </c>
      <c r="R89" s="8">
        <f t="shared" si="70"/>
        <v>-0.95377114453519329</v>
      </c>
      <c r="S89" s="10">
        <f t="shared" si="71"/>
        <v>1.0336195047163426E-4</v>
      </c>
      <c r="T89" s="10">
        <f t="shared" si="72"/>
        <v>6.6549773749459621E-5</v>
      </c>
      <c r="U89" s="10">
        <f t="shared" si="73"/>
        <v>3.8623008788903578E-5</v>
      </c>
      <c r="V89" s="12">
        <f t="shared" si="74"/>
        <v>6781.5775704439238</v>
      </c>
      <c r="W89" s="12">
        <f t="shared" si="75"/>
        <v>4259.1855199654165</v>
      </c>
      <c r="X89" s="12">
        <f t="shared" si="76"/>
        <v>2410.4619785154723</v>
      </c>
      <c r="Y89" s="14">
        <f t="shared" si="77"/>
        <v>-132.72918367378247</v>
      </c>
      <c r="Z89" s="14">
        <f t="shared" si="78"/>
        <v>-131.99949241494173</v>
      </c>
      <c r="AA89" s="14">
        <f t="shared" si="79"/>
        <v>-131.26980115610101</v>
      </c>
      <c r="AB89" s="16">
        <f t="shared" si="80"/>
        <v>-106.17592801617036</v>
      </c>
      <c r="AC89" s="16">
        <f t="shared" si="81"/>
        <v>-95.644250024262078</v>
      </c>
      <c r="AD89" s="16">
        <f t="shared" si="82"/>
        <v>-85.112572032353683</v>
      </c>
      <c r="AE89" s="18">
        <f t="shared" si="83"/>
        <v>-747.98784760759463</v>
      </c>
      <c r="AF89" s="18">
        <f t="shared" si="84"/>
        <v>-405.91056414034557</v>
      </c>
      <c r="AG89" s="18">
        <f t="shared" si="85"/>
        <v>-201.12609781874477</v>
      </c>
      <c r="AH89" s="18">
        <f t="shared" si="86"/>
        <v>-31228.613441205103</v>
      </c>
      <c r="AI89" s="18">
        <f t="shared" si="87"/>
        <v>-32620.190784859351</v>
      </c>
      <c r="AJ89" s="18">
        <f t="shared" si="88"/>
        <v>-33464.19227707848</v>
      </c>
    </row>
    <row r="90" spans="6:36" x14ac:dyDescent="0.4">
      <c r="F90">
        <v>42800</v>
      </c>
      <c r="G90" s="6">
        <f t="shared" si="60"/>
        <v>-1.3609032118814406</v>
      </c>
      <c r="H90" s="6">
        <f t="shared" si="61"/>
        <v>-1.6714662118453703</v>
      </c>
      <c r="I90" s="6">
        <f t="shared" si="62"/>
        <v>-1.985935767016874</v>
      </c>
      <c r="J90">
        <f t="shared" si="63"/>
        <v>-1.4009032118814406</v>
      </c>
      <c r="K90">
        <f t="shared" si="64"/>
        <v>-1.7114662118453703</v>
      </c>
      <c r="L90">
        <f t="shared" si="35"/>
        <v>-2.0259357670168741</v>
      </c>
      <c r="M90" s="8">
        <f t="shared" si="65"/>
        <v>8.505393571729028E-2</v>
      </c>
      <c r="N90" s="8">
        <f t="shared" si="66"/>
        <v>4.6377917509179932E-2</v>
      </c>
      <c r="O90" s="8">
        <f t="shared" si="67"/>
        <v>2.3054496586409349E-2</v>
      </c>
      <c r="P90" s="8">
        <f t="shared" si="68"/>
        <v>-0.895144737589465</v>
      </c>
      <c r="Q90" s="8">
        <f t="shared" si="69"/>
        <v>-0.93382075579757529</v>
      </c>
      <c r="R90" s="8">
        <f t="shared" si="70"/>
        <v>-0.95714417672034591</v>
      </c>
      <c r="S90" s="10">
        <f t="shared" si="71"/>
        <v>9.5618070147846223E-5</v>
      </c>
      <c r="T90" s="10">
        <f t="shared" si="72"/>
        <v>6.0455857332650771E-5</v>
      </c>
      <c r="U90" s="10">
        <f t="shared" si="73"/>
        <v>3.4446984582938042E-5</v>
      </c>
      <c r="V90" s="12">
        <f t="shared" si="74"/>
        <v>6273.5015824001912</v>
      </c>
      <c r="W90" s="12">
        <f t="shared" si="75"/>
        <v>3869.174869289649</v>
      </c>
      <c r="X90" s="12">
        <f t="shared" si="76"/>
        <v>2149.8363078211632</v>
      </c>
      <c r="Y90" s="14">
        <f t="shared" si="77"/>
        <v>-122.88235581307339</v>
      </c>
      <c r="Z90" s="14">
        <f t="shared" si="78"/>
        <v>-122.18388243385117</v>
      </c>
      <c r="AA90" s="14">
        <f t="shared" si="79"/>
        <v>-121.48540905462896</v>
      </c>
      <c r="AB90" s="16">
        <f t="shared" si="80"/>
        <v>-94.407521277156548</v>
      </c>
      <c r="AC90" s="16">
        <f t="shared" si="81"/>
        <v>-83.907061164866832</v>
      </c>
      <c r="AD90" s="16">
        <f t="shared" si="82"/>
        <v>-73.406601052577116</v>
      </c>
      <c r="AE90" s="18">
        <f t="shared" si="83"/>
        <v>-678.80602770843507</v>
      </c>
      <c r="AF90" s="18">
        <f t="shared" si="84"/>
        <v>-362.84855706356893</v>
      </c>
      <c r="AG90" s="18">
        <f t="shared" si="85"/>
        <v>-176.97495760515793</v>
      </c>
      <c r="AH90" s="18">
        <f t="shared" si="86"/>
        <v>-31541.075196894613</v>
      </c>
      <c r="AI90" s="18">
        <f t="shared" si="87"/>
        <v>-32814.685422432805</v>
      </c>
      <c r="AJ90" s="18">
        <f t="shared" si="88"/>
        <v>-33573.275908178417</v>
      </c>
    </row>
    <row r="91" spans="6:36" x14ac:dyDescent="0.4">
      <c r="F91">
        <v>42900</v>
      </c>
      <c r="G91" s="6">
        <f t="shared" si="60"/>
        <v>-1.4192462955369454</v>
      </c>
      <c r="H91" s="6">
        <f t="shared" si="61"/>
        <v>-1.7298092955008757</v>
      </c>
      <c r="I91" s="6">
        <f t="shared" si="62"/>
        <v>-2.0442788506723768</v>
      </c>
      <c r="J91">
        <f t="shared" si="63"/>
        <v>-1.4592462955369454</v>
      </c>
      <c r="K91">
        <f t="shared" si="64"/>
        <v>-1.7698092955008757</v>
      </c>
      <c r="L91">
        <f t="shared" si="35"/>
        <v>-2.0842788506723768</v>
      </c>
      <c r="M91" s="8">
        <f t="shared" si="65"/>
        <v>7.637081870516646E-2</v>
      </c>
      <c r="N91" s="8">
        <f t="shared" si="66"/>
        <v>4.1003843962988208E-2</v>
      </c>
      <c r="O91" s="8">
        <f t="shared" si="67"/>
        <v>2.0057809055581119E-2</v>
      </c>
      <c r="P91" s="8">
        <f t="shared" si="68"/>
        <v>-0.90382785460158876</v>
      </c>
      <c r="Q91" s="8">
        <f t="shared" si="69"/>
        <v>-0.93919482934376708</v>
      </c>
      <c r="R91" s="8">
        <f t="shared" si="70"/>
        <v>-0.96014086425117418</v>
      </c>
      <c r="S91" s="10">
        <f t="shared" si="71"/>
        <v>8.8169453677145482E-5</v>
      </c>
      <c r="T91" s="10">
        <f t="shared" si="72"/>
        <v>5.4745381946561671E-5</v>
      </c>
      <c r="U91" s="10">
        <f t="shared" si="73"/>
        <v>3.0626139890466508E-5</v>
      </c>
      <c r="V91" s="12">
        <f t="shared" si="74"/>
        <v>5784.7978557575161</v>
      </c>
      <c r="W91" s="12">
        <f t="shared" si="75"/>
        <v>3503.704444579947</v>
      </c>
      <c r="X91" s="12">
        <f t="shared" si="76"/>
        <v>1911.3773905640146</v>
      </c>
      <c r="Y91" s="14">
        <f t="shared" si="77"/>
        <v>-113.39431152207463</v>
      </c>
      <c r="Z91" s="14">
        <f t="shared" si="78"/>
        <v>-112.72967455955653</v>
      </c>
      <c r="AA91" s="14">
        <f t="shared" si="79"/>
        <v>-112.06503759703844</v>
      </c>
      <c r="AB91" s="16">
        <f t="shared" si="80"/>
        <v>-82.997898107853189</v>
      </c>
      <c r="AC91" s="16">
        <f t="shared" si="81"/>
        <v>-72.531274412267521</v>
      </c>
      <c r="AD91" s="16">
        <f t="shared" si="82"/>
        <v>-62.064650716681854</v>
      </c>
      <c r="AE91" s="18">
        <f t="shared" si="83"/>
        <v>-614.38654776083797</v>
      </c>
      <c r="AF91" s="18">
        <f t="shared" si="84"/>
        <v>-323.4714946155118</v>
      </c>
      <c r="AG91" s="18">
        <f t="shared" si="85"/>
        <v>-155.29235706358733</v>
      </c>
      <c r="AH91" s="18">
        <f t="shared" si="86"/>
        <v>-31828.32195593803</v>
      </c>
      <c r="AI91" s="18">
        <f t="shared" si="87"/>
        <v>-32990.271301832421</v>
      </c>
      <c r="AJ91" s="18">
        <f t="shared" si="88"/>
        <v>-33669.962465104567</v>
      </c>
    </row>
    <row r="92" spans="6:36" x14ac:dyDescent="0.4">
      <c r="F92">
        <v>43000</v>
      </c>
      <c r="G92" s="6">
        <f t="shared" si="60"/>
        <v>-1.4774535395267239</v>
      </c>
      <c r="H92" s="6">
        <f t="shared" si="61"/>
        <v>-1.7880165394906533</v>
      </c>
      <c r="I92" s="6">
        <f t="shared" si="62"/>
        <v>-2.1024860946621566</v>
      </c>
      <c r="J92">
        <f t="shared" si="63"/>
        <v>-1.5174535395267239</v>
      </c>
      <c r="K92">
        <f t="shared" si="64"/>
        <v>-1.8280165394906533</v>
      </c>
      <c r="L92">
        <f t="shared" si="35"/>
        <v>-2.1424860946621567</v>
      </c>
      <c r="M92" s="8">
        <f t="shared" si="65"/>
        <v>6.8395373588773067E-2</v>
      </c>
      <c r="N92" s="8">
        <f t="shared" si="66"/>
        <v>3.615626472446077E-2</v>
      </c>
      <c r="O92" s="8">
        <f t="shared" si="67"/>
        <v>1.7403778587087169E-2</v>
      </c>
      <c r="P92" s="8">
        <f t="shared" si="68"/>
        <v>-0.91180329971798213</v>
      </c>
      <c r="Q92" s="8">
        <f t="shared" si="69"/>
        <v>-0.94404240858229449</v>
      </c>
      <c r="R92" s="8">
        <f t="shared" si="70"/>
        <v>-0.96279489471966806</v>
      </c>
      <c r="S92" s="10">
        <f t="shared" si="71"/>
        <v>8.1041074262235059E-5</v>
      </c>
      <c r="T92" s="10">
        <f t="shared" si="72"/>
        <v>4.9417842529283799E-5</v>
      </c>
      <c r="U92" s="10">
        <f t="shared" si="73"/>
        <v>2.7144325244961185E-5</v>
      </c>
      <c r="V92" s="12">
        <f t="shared" si="74"/>
        <v>5317.1048823452429</v>
      </c>
      <c r="W92" s="12">
        <f t="shared" si="75"/>
        <v>3162.7419218741634</v>
      </c>
      <c r="X92" s="12">
        <f t="shared" si="76"/>
        <v>1694.0773385380276</v>
      </c>
      <c r="Y92" s="14">
        <f t="shared" si="77"/>
        <v>-104.29972133646167</v>
      </c>
      <c r="Z92" s="14">
        <f t="shared" si="78"/>
        <v>-103.67080966930119</v>
      </c>
      <c r="AA92" s="14">
        <f t="shared" si="79"/>
        <v>-103.0418980021407</v>
      </c>
      <c r="AB92" s="16">
        <f t="shared" si="80"/>
        <v>-71.981729043935502</v>
      </c>
      <c r="AC92" s="16">
        <f t="shared" si="81"/>
        <v>-61.5508306437074</v>
      </c>
      <c r="AD92" s="16">
        <f t="shared" si="82"/>
        <v>-51.119932243479411</v>
      </c>
      <c r="AE92" s="18">
        <f t="shared" si="83"/>
        <v>-554.60310540092598</v>
      </c>
      <c r="AF92" s="18">
        <f t="shared" si="84"/>
        <v>-287.58350178594441</v>
      </c>
      <c r="AG92" s="18">
        <f t="shared" si="85"/>
        <v>-135.88973272996671</v>
      </c>
      <c r="AH92" s="18">
        <f t="shared" si="86"/>
        <v>-32091.544040792054</v>
      </c>
      <c r="AI92" s="18">
        <f t="shared" si="87"/>
        <v>-33148.286478543945</v>
      </c>
      <c r="AJ92" s="18">
        <f t="shared" si="88"/>
        <v>-33755.394044276458</v>
      </c>
    </row>
    <row r="93" spans="6:36" x14ac:dyDescent="0.4">
      <c r="F93">
        <v>43100</v>
      </c>
      <c r="G93" s="6">
        <f t="shared" si="60"/>
        <v>-1.5355255749302168</v>
      </c>
      <c r="H93" s="6">
        <f t="shared" si="61"/>
        <v>-1.846088574894146</v>
      </c>
      <c r="I93" s="6">
        <f t="shared" si="62"/>
        <v>-2.1605581300656493</v>
      </c>
      <c r="J93">
        <f t="shared" si="63"/>
        <v>-1.5755255749302168</v>
      </c>
      <c r="K93">
        <f t="shared" si="64"/>
        <v>-1.8860885748941461</v>
      </c>
      <c r="L93">
        <f t="shared" si="35"/>
        <v>-2.2005581300656494</v>
      </c>
      <c r="M93" s="8">
        <f t="shared" si="65"/>
        <v>6.1093224938473099E-2</v>
      </c>
      <c r="N93" s="8">
        <f t="shared" si="66"/>
        <v>3.1797324186130238E-2</v>
      </c>
      <c r="O93" s="8">
        <f t="shared" si="67"/>
        <v>1.5060502019525777E-2</v>
      </c>
      <c r="P93" s="8">
        <f t="shared" si="68"/>
        <v>-0.91910544836828212</v>
      </c>
      <c r="Q93" s="8">
        <f t="shared" si="69"/>
        <v>-0.94840134912062501</v>
      </c>
      <c r="R93" s="8">
        <f t="shared" si="70"/>
        <v>-0.96513817128722945</v>
      </c>
      <c r="S93" s="10">
        <f t="shared" si="71"/>
        <v>7.425248171540794E-5</v>
      </c>
      <c r="T93" s="10">
        <f t="shared" si="72"/>
        <v>4.446896825601788E-5</v>
      </c>
      <c r="U93" s="10">
        <f t="shared" si="73"/>
        <v>2.3983981788523029E-5</v>
      </c>
      <c r="V93" s="12">
        <f t="shared" si="74"/>
        <v>4871.7053253479162</v>
      </c>
      <c r="W93" s="12">
        <f t="shared" si="75"/>
        <v>2846.0139683851444</v>
      </c>
      <c r="X93" s="12">
        <f t="shared" si="76"/>
        <v>1496.8403034217222</v>
      </c>
      <c r="Y93" s="14">
        <f t="shared" si="77"/>
        <v>-95.626100906513145</v>
      </c>
      <c r="Z93" s="14">
        <f t="shared" si="78"/>
        <v>-95.034142952108269</v>
      </c>
      <c r="AA93" s="14">
        <f t="shared" si="79"/>
        <v>-94.442184997703393</v>
      </c>
      <c r="AB93" s="16">
        <f t="shared" si="80"/>
        <v>-61.386529735682416</v>
      </c>
      <c r="AC93" s="16">
        <f t="shared" si="81"/>
        <v>-50.992585048209889</v>
      </c>
      <c r="AD93" s="16">
        <f t="shared" si="82"/>
        <v>-40.598640360737591</v>
      </c>
      <c r="AE93" s="18">
        <f t="shared" si="83"/>
        <v>-499.30697395730249</v>
      </c>
      <c r="AF93" s="18">
        <f t="shared" si="84"/>
        <v>-254.98306617858495</v>
      </c>
      <c r="AG93" s="18">
        <f t="shared" si="85"/>
        <v>-118.58374299155126</v>
      </c>
      <c r="AH93" s="18">
        <f t="shared" si="86"/>
        <v>-32331.984929685572</v>
      </c>
      <c r="AI93" s="18">
        <f t="shared" si="87"/>
        <v>-33290.043664469806</v>
      </c>
      <c r="AJ93" s="18">
        <f t="shared" si="88"/>
        <v>-33830.647478956715</v>
      </c>
    </row>
    <row r="94" spans="6:36" x14ac:dyDescent="0.4">
      <c r="F94">
        <v>43200</v>
      </c>
      <c r="G94" s="6">
        <f t="shared" si="60"/>
        <v>-1.5934630284392794</v>
      </c>
      <c r="H94" s="6">
        <f t="shared" si="61"/>
        <v>-1.9040260284032082</v>
      </c>
      <c r="I94" s="6">
        <f t="shared" si="62"/>
        <v>-2.2184955835747111</v>
      </c>
      <c r="J94">
        <f t="shared" si="63"/>
        <v>-1.6334630284392795</v>
      </c>
      <c r="K94">
        <f t="shared" si="64"/>
        <v>-1.9440260284032083</v>
      </c>
      <c r="L94">
        <f t="shared" si="35"/>
        <v>-2.2584955835747111</v>
      </c>
      <c r="M94" s="8">
        <f t="shared" si="65"/>
        <v>5.4428646393332815E-2</v>
      </c>
      <c r="N94" s="8">
        <f t="shared" si="66"/>
        <v>2.7889982189139122E-2</v>
      </c>
      <c r="O94" s="8">
        <f t="shared" si="67"/>
        <v>1.2997954101069475E-2</v>
      </c>
      <c r="P94" s="8">
        <f t="shared" si="68"/>
        <v>-0.92577002691342247</v>
      </c>
      <c r="Q94" s="8">
        <f t="shared" si="69"/>
        <v>-0.95230869111761618</v>
      </c>
      <c r="R94" s="8">
        <f t="shared" si="70"/>
        <v>-0.96720071920568573</v>
      </c>
      <c r="S94" s="10">
        <f t="shared" si="71"/>
        <v>6.7818050090059806E-5</v>
      </c>
      <c r="T94" s="10">
        <f t="shared" si="72"/>
        <v>3.9891192417518979E-5</v>
      </c>
      <c r="U94" s="10">
        <f t="shared" si="73"/>
        <v>2.1126550596522687E-5</v>
      </c>
      <c r="V94" s="12">
        <f t="shared" si="74"/>
        <v>4449.5422664088246</v>
      </c>
      <c r="W94" s="12">
        <f t="shared" si="75"/>
        <v>2553.0363147212151</v>
      </c>
      <c r="X94" s="12">
        <f t="shared" si="76"/>
        <v>1318.5080227289807</v>
      </c>
      <c r="Y94" s="14">
        <f t="shared" si="77"/>
        <v>-87.394125191125539</v>
      </c>
      <c r="Z94" s="14">
        <f t="shared" si="78"/>
        <v>-86.839759243599914</v>
      </c>
      <c r="AA94" s="14">
        <f t="shared" si="79"/>
        <v>-86.285393296074261</v>
      </c>
      <c r="AB94" s="16">
        <f t="shared" si="80"/>
        <v>-51.232975141989982</v>
      </c>
      <c r="AC94" s="16">
        <f t="shared" si="81"/>
        <v>-40.876622461396892</v>
      </c>
      <c r="AD94" s="16">
        <f t="shared" si="82"/>
        <v>-30.520269780803687</v>
      </c>
      <c r="AE94" s="18">
        <f t="shared" si="83"/>
        <v>-448.33045081557924</v>
      </c>
      <c r="AF94" s="18">
        <f t="shared" si="84"/>
        <v>-225.46571134289948</v>
      </c>
      <c r="AG94" s="18">
        <f t="shared" si="85"/>
        <v>-103.19757023895963</v>
      </c>
      <c r="AH94" s="18">
        <f t="shared" si="86"/>
        <v>-32550.923837622035</v>
      </c>
      <c r="AI94" s="18">
        <f t="shared" si="87"/>
        <v>-33416.819989513766</v>
      </c>
      <c r="AJ94" s="18">
        <f t="shared" si="88"/>
        <v>-33896.731948983143</v>
      </c>
    </row>
    <row r="95" spans="6:36" x14ac:dyDescent="0.4">
      <c r="F95">
        <v>43300</v>
      </c>
      <c r="G95" s="6">
        <f t="shared" si="60"/>
        <v>-1.651266522398767</v>
      </c>
      <c r="H95" s="6">
        <f t="shared" si="61"/>
        <v>-1.9618295223626976</v>
      </c>
      <c r="I95" s="6">
        <f t="shared" si="62"/>
        <v>-2.2762990775341994</v>
      </c>
      <c r="J95">
        <f t="shared" si="63"/>
        <v>-1.6912665223987671</v>
      </c>
      <c r="K95">
        <f t="shared" si="64"/>
        <v>-2.0018295223626974</v>
      </c>
      <c r="L95">
        <f t="shared" si="35"/>
        <v>-2.3162990775341994</v>
      </c>
      <c r="M95" s="8">
        <f t="shared" si="65"/>
        <v>4.8365043795153516E-2</v>
      </c>
      <c r="N95" s="8">
        <f t="shared" si="66"/>
        <v>2.4398289520068471E-2</v>
      </c>
      <c r="O95" s="8">
        <f t="shared" si="67"/>
        <v>1.1188044164482566E-2</v>
      </c>
      <c r="P95" s="8">
        <f t="shared" si="68"/>
        <v>-0.93183362951160176</v>
      </c>
      <c r="Q95" s="8">
        <f t="shared" si="69"/>
        <v>-0.95580038378668675</v>
      </c>
      <c r="R95" s="8">
        <f t="shared" si="70"/>
        <v>-0.96901062914227265</v>
      </c>
      <c r="S95" s="10">
        <f t="shared" si="71"/>
        <v>6.1747286581074196E-5</v>
      </c>
      <c r="T95" s="10">
        <f t="shared" si="72"/>
        <v>3.5674122968086544E-5</v>
      </c>
      <c r="U95" s="10">
        <f t="shared" si="73"/>
        <v>1.8552845129522023E-5</v>
      </c>
      <c r="V95" s="12">
        <f t="shared" si="74"/>
        <v>4051.2394725842787</v>
      </c>
      <c r="W95" s="12">
        <f t="shared" si="75"/>
        <v>2283.1438699575383</v>
      </c>
      <c r="X95" s="12">
        <f t="shared" si="76"/>
        <v>1157.8830645334697</v>
      </c>
      <c r="Y95" s="14">
        <f t="shared" si="77"/>
        <v>-79.618024505137797</v>
      </c>
      <c r="Z95" s="14">
        <f t="shared" si="78"/>
        <v>-79.101368900475933</v>
      </c>
      <c r="AA95" s="14">
        <f t="shared" si="79"/>
        <v>-78.584713295814055</v>
      </c>
      <c r="AB95" s="16">
        <f t="shared" si="80"/>
        <v>-41.535295577697752</v>
      </c>
      <c r="AC95" s="16">
        <f t="shared" si="81"/>
        <v>-31.216653239968423</v>
      </c>
      <c r="AD95" s="16">
        <f t="shared" si="82"/>
        <v>-20.898010902238866</v>
      </c>
      <c r="AE95" s="18">
        <f t="shared" si="83"/>
        <v>-401.4902590684593</v>
      </c>
      <c r="AF95" s="18">
        <f t="shared" si="84"/>
        <v>-198.82642759955769</v>
      </c>
      <c r="AG95" s="18">
        <f t="shared" si="85"/>
        <v>-89.561973372585726</v>
      </c>
      <c r="AH95" s="18">
        <f t="shared" si="86"/>
        <v>-32749.65955110118</v>
      </c>
      <c r="AI95" s="18">
        <f t="shared" si="87"/>
        <v>-33529.848412533254</v>
      </c>
      <c r="AJ95" s="18">
        <f t="shared" si="88"/>
        <v>-33954.587794611958</v>
      </c>
    </row>
    <row r="96" spans="6:36" x14ac:dyDescent="0.4">
      <c r="F96">
        <v>43400</v>
      </c>
      <c r="G96" s="6">
        <f t="shared" si="60"/>
        <v>-1.7089366748466428</v>
      </c>
      <c r="H96" s="6">
        <f t="shared" si="61"/>
        <v>-2.019499674810572</v>
      </c>
      <c r="I96" s="6">
        <f t="shared" si="62"/>
        <v>-2.3339692299820749</v>
      </c>
      <c r="J96">
        <f t="shared" si="63"/>
        <v>-1.7489366748466428</v>
      </c>
      <c r="K96">
        <f t="shared" si="64"/>
        <v>-2.0594996748105721</v>
      </c>
      <c r="L96">
        <f t="shared" si="35"/>
        <v>-2.3739692299820749</v>
      </c>
      <c r="M96" s="8">
        <f t="shared" si="65"/>
        <v>4.2865401512142944E-2</v>
      </c>
      <c r="N96" s="8">
        <f t="shared" si="66"/>
        <v>2.1287617145095489E-2</v>
      </c>
      <c r="O96" s="8">
        <f t="shared" si="67"/>
        <v>9.6046399844948813E-3</v>
      </c>
      <c r="P96" s="8">
        <f t="shared" si="68"/>
        <v>-0.93733327179461234</v>
      </c>
      <c r="Q96" s="8">
        <f t="shared" si="69"/>
        <v>-0.95891105616165973</v>
      </c>
      <c r="R96" s="8">
        <f t="shared" si="70"/>
        <v>-0.97059403332226035</v>
      </c>
      <c r="S96" s="10">
        <f t="shared" si="71"/>
        <v>5.604518930587923E-5</v>
      </c>
      <c r="T96" s="10">
        <f t="shared" si="72"/>
        <v>3.180500439293738E-5</v>
      </c>
      <c r="U96" s="10">
        <f t="shared" si="73"/>
        <v>1.6243384456052304E-5</v>
      </c>
      <c r="V96" s="12">
        <f t="shared" si="74"/>
        <v>3677.1248703587366</v>
      </c>
      <c r="W96" s="12">
        <f t="shared" si="75"/>
        <v>2035.5202811479921</v>
      </c>
      <c r="X96" s="12">
        <f t="shared" si="76"/>
        <v>1013.7496239022242</v>
      </c>
      <c r="Y96" s="14">
        <f t="shared" si="77"/>
        <v>-72.306046165321703</v>
      </c>
      <c r="Z96" s="14">
        <f t="shared" si="78"/>
        <v>-71.826768113687891</v>
      </c>
      <c r="AA96" s="14">
        <f t="shared" si="79"/>
        <v>-71.347490062054078</v>
      </c>
      <c r="AB96" s="16">
        <f t="shared" si="80"/>
        <v>-32.30173835957703</v>
      </c>
      <c r="AC96" s="16">
        <f t="shared" si="81"/>
        <v>-22.020473574875723</v>
      </c>
      <c r="AD96" s="16">
        <f t="shared" si="82"/>
        <v>-11.739208790174303</v>
      </c>
      <c r="AE96" s="18">
        <f t="shared" si="83"/>
        <v>-358.59084843545622</v>
      </c>
      <c r="AF96" s="18">
        <f t="shared" si="84"/>
        <v>-174.8618455041877</v>
      </c>
      <c r="AG96" s="18">
        <f t="shared" si="85"/>
        <v>-77.516104327597645</v>
      </c>
      <c r="AH96" s="18">
        <f t="shared" si="86"/>
        <v>-32929.495652930098</v>
      </c>
      <c r="AI96" s="18">
        <f t="shared" si="87"/>
        <v>-33630.310725436801</v>
      </c>
      <c r="AJ96" s="18">
        <f t="shared" si="88"/>
        <v>-34005.086390676486</v>
      </c>
    </row>
    <row r="97" spans="6:36" x14ac:dyDescent="0.4">
      <c r="F97">
        <v>43500</v>
      </c>
      <c r="G97" s="6">
        <f t="shared" si="60"/>
        <v>-1.7664740995536246</v>
      </c>
      <c r="H97" s="6">
        <f t="shared" si="61"/>
        <v>-2.0770370995175531</v>
      </c>
      <c r="I97" s="6">
        <f t="shared" si="62"/>
        <v>-2.3915066546890555</v>
      </c>
      <c r="J97">
        <f t="shared" si="63"/>
        <v>-1.8064740995536246</v>
      </c>
      <c r="K97">
        <f t="shared" si="64"/>
        <v>-2.1170370995175531</v>
      </c>
      <c r="L97">
        <f t="shared" si="35"/>
        <v>-2.4315066546890556</v>
      </c>
      <c r="M97" s="8">
        <f t="shared" si="65"/>
        <v>3.7892688474743356E-2</v>
      </c>
      <c r="N97" s="8">
        <f t="shared" si="66"/>
        <v>1.8524840998173923E-2</v>
      </c>
      <c r="O97" s="8">
        <f t="shared" si="67"/>
        <v>8.2235628972468378E-3</v>
      </c>
      <c r="P97" s="8">
        <f t="shared" si="68"/>
        <v>-0.94230598483201189</v>
      </c>
      <c r="Q97" s="8">
        <f t="shared" si="69"/>
        <v>-0.96167383230858128</v>
      </c>
      <c r="R97" s="8">
        <f t="shared" si="70"/>
        <v>-0.97197511040950846</v>
      </c>
      <c r="S97" s="10">
        <f t="shared" si="71"/>
        <v>5.0712641782393917E-5</v>
      </c>
      <c r="T97" s="10">
        <f t="shared" si="72"/>
        <v>2.826916289359528E-5</v>
      </c>
      <c r="U97" s="10">
        <f t="shared" si="73"/>
        <v>1.4178686112631196E-5</v>
      </c>
      <c r="V97" s="12">
        <f t="shared" si="74"/>
        <v>3327.2564273428652</v>
      </c>
      <c r="W97" s="12">
        <f t="shared" si="75"/>
        <v>1809.2264251900981</v>
      </c>
      <c r="X97" s="12">
        <f t="shared" si="76"/>
        <v>884.89180028931298</v>
      </c>
      <c r="Y97" s="14">
        <f t="shared" si="77"/>
        <v>-65.460965722563984</v>
      </c>
      <c r="Z97" s="14">
        <f t="shared" si="78"/>
        <v>-65.018347810436637</v>
      </c>
      <c r="AA97" s="14">
        <f t="shared" si="79"/>
        <v>-64.575729898309277</v>
      </c>
      <c r="AB97" s="16">
        <f t="shared" si="80"/>
        <v>-23.535079038514709</v>
      </c>
      <c r="AC97" s="16">
        <f t="shared" si="81"/>
        <v>-13.290474393319641</v>
      </c>
      <c r="AD97" s="16">
        <f t="shared" si="82"/>
        <v>-3.0458697481249146</v>
      </c>
      <c r="AE97" s="18">
        <f t="shared" si="83"/>
        <v>-319.42754887469511</v>
      </c>
      <c r="AF97" s="18">
        <f t="shared" si="84"/>
        <v>-153.37214408602313</v>
      </c>
      <c r="AG97" s="18">
        <f t="shared" si="85"/>
        <v>-66.908105315057469</v>
      </c>
      <c r="AH97" s="18">
        <f t="shared" si="86"/>
        <v>-33091.727231384022</v>
      </c>
      <c r="AI97" s="18">
        <f t="shared" si="87"/>
        <v>-33719.332069895499</v>
      </c>
      <c r="AJ97" s="18">
        <f t="shared" si="88"/>
        <v>-34049.030936610237</v>
      </c>
    </row>
    <row r="98" spans="6:36" x14ac:dyDescent="0.4">
      <c r="F98">
        <v>43600</v>
      </c>
      <c r="G98" s="6">
        <f t="shared" si="60"/>
        <v>-1.8238794060623786</v>
      </c>
      <c r="H98" s="6">
        <f t="shared" si="61"/>
        <v>-2.1344424060263067</v>
      </c>
      <c r="I98" s="6">
        <f t="shared" si="62"/>
        <v>-2.4489119611978127</v>
      </c>
      <c r="J98">
        <f t="shared" si="63"/>
        <v>-1.8638794060623787</v>
      </c>
      <c r="K98">
        <f t="shared" si="64"/>
        <v>-2.1744424060263068</v>
      </c>
      <c r="L98">
        <f t="shared" si="35"/>
        <v>-2.4889119611978128</v>
      </c>
      <c r="M98" s="8">
        <f t="shared" si="65"/>
        <v>3.3410221613951491E-2</v>
      </c>
      <c r="N98" s="8">
        <f t="shared" si="66"/>
        <v>1.6078484782148152E-2</v>
      </c>
      <c r="O98" s="8">
        <f t="shared" si="67"/>
        <v>7.0225582487828293E-3</v>
      </c>
      <c r="P98" s="8">
        <f t="shared" si="68"/>
        <v>-0.94678845169280379</v>
      </c>
      <c r="Q98" s="8">
        <f t="shared" si="69"/>
        <v>-0.96412018852460712</v>
      </c>
      <c r="R98" s="8">
        <f t="shared" si="70"/>
        <v>-0.97317611505797241</v>
      </c>
      <c r="S98" s="10">
        <f t="shared" si="71"/>
        <v>4.5746832420031917E-5</v>
      </c>
      <c r="T98" s="10">
        <f t="shared" si="72"/>
        <v>2.505042827547425E-5</v>
      </c>
      <c r="U98" s="10">
        <f t="shared" si="73"/>
        <v>1.2339518544702538E-5</v>
      </c>
      <c r="V98" s="12">
        <f t="shared" si="74"/>
        <v>3001.4496750782941</v>
      </c>
      <c r="W98" s="12">
        <f t="shared" si="75"/>
        <v>1603.227409630352</v>
      </c>
      <c r="X98" s="12">
        <f t="shared" si="76"/>
        <v>770.10935237488548</v>
      </c>
      <c r="Y98" s="14">
        <f t="shared" si="77"/>
        <v>-59.080632400909785</v>
      </c>
      <c r="Z98" s="14">
        <f t="shared" si="78"/>
        <v>-58.673635931844792</v>
      </c>
      <c r="AA98" s="14">
        <f t="shared" si="79"/>
        <v>-58.266639462779786</v>
      </c>
      <c r="AB98" s="16">
        <f t="shared" si="80"/>
        <v>-15.233166838555803</v>
      </c>
      <c r="AC98" s="16">
        <f t="shared" si="81"/>
        <v>-5.0241836364232313</v>
      </c>
      <c r="AD98" s="16">
        <f t="shared" si="82"/>
        <v>5.1847995657093406</v>
      </c>
      <c r="AE98" s="18">
        <f t="shared" si="83"/>
        <v>-283.7895380791557</v>
      </c>
      <c r="AF98" s="18">
        <f t="shared" si="84"/>
        <v>-134.16269233496985</v>
      </c>
      <c r="AG98" s="18">
        <f t="shared" si="85"/>
        <v>-57.595505699167106</v>
      </c>
      <c r="AH98" s="18">
        <f t="shared" si="86"/>
        <v>-33237.62912845055</v>
      </c>
      <c r="AI98" s="18">
        <f t="shared" si="87"/>
        <v>-33797.976866785473</v>
      </c>
      <c r="AJ98" s="18">
        <f t="shared" si="88"/>
        <v>-34087.158020608673</v>
      </c>
    </row>
    <row r="99" spans="6:36" x14ac:dyDescent="0.4">
      <c r="F99">
        <v>43700</v>
      </c>
      <c r="G99" s="6">
        <f t="shared" si="60"/>
        <v>-1.8811531997262751</v>
      </c>
      <c r="H99" s="6">
        <f t="shared" si="61"/>
        <v>-2.1917161996902026</v>
      </c>
      <c r="I99" s="6">
        <f t="shared" si="62"/>
        <v>-2.5061857548617077</v>
      </c>
      <c r="J99">
        <f t="shared" si="63"/>
        <v>-1.9211531997262752</v>
      </c>
      <c r="K99">
        <f t="shared" si="64"/>
        <v>-2.2317161996902026</v>
      </c>
      <c r="L99">
        <f t="shared" si="35"/>
        <v>-2.5461857548617077</v>
      </c>
      <c r="M99" s="8">
        <f t="shared" si="65"/>
        <v>2.938198548066466E-2</v>
      </c>
      <c r="N99" s="8">
        <f t="shared" si="66"/>
        <v>1.3918823745244266E-2</v>
      </c>
      <c r="O99" s="8">
        <f t="shared" si="67"/>
        <v>5.9812451365562035E-3</v>
      </c>
      <c r="P99" s="8">
        <f t="shared" si="68"/>
        <v>-0.95081668782609063</v>
      </c>
      <c r="Q99" s="8">
        <f t="shared" si="69"/>
        <v>-0.96627984956151103</v>
      </c>
      <c r="R99" s="8">
        <f t="shared" si="70"/>
        <v>-0.97421742817019907</v>
      </c>
      <c r="S99" s="10">
        <f t="shared" si="71"/>
        <v>4.114168808651131E-5</v>
      </c>
      <c r="T99" s="10">
        <f t="shared" si="72"/>
        <v>2.2131527298806526E-5</v>
      </c>
      <c r="U99" s="10">
        <f t="shared" si="73"/>
        <v>1.0707113994037638E-5</v>
      </c>
      <c r="V99" s="12">
        <f t="shared" si="74"/>
        <v>2699.3061553560069</v>
      </c>
      <c r="W99" s="12">
        <f t="shared" si="75"/>
        <v>1416.4177471236178</v>
      </c>
      <c r="X99" s="12">
        <f t="shared" si="76"/>
        <v>668.23098436788905</v>
      </c>
      <c r="Y99" s="14">
        <f t="shared" si="77"/>
        <v>-53.158534324311987</v>
      </c>
      <c r="Z99" s="14">
        <f t="shared" si="78"/>
        <v>-52.785858832117157</v>
      </c>
      <c r="AA99" s="14">
        <f t="shared" si="79"/>
        <v>-52.41318333992232</v>
      </c>
      <c r="AB99" s="16">
        <f t="shared" si="80"/>
        <v>-7.3894898836533685</v>
      </c>
      <c r="AC99" s="16">
        <f t="shared" si="81"/>
        <v>2.7851723416090408</v>
      </c>
      <c r="AD99" s="16">
        <f t="shared" si="82"/>
        <v>12.959834566871336</v>
      </c>
      <c r="AE99" s="18">
        <f t="shared" si="83"/>
        <v>-251.46259190493984</v>
      </c>
      <c r="AF99" s="18">
        <f t="shared" si="84"/>
        <v>-117.04542800277807</v>
      </c>
      <c r="AG99" s="18">
        <f t="shared" si="85"/>
        <v>-49.445438896605154</v>
      </c>
      <c r="AH99" s="18">
        <f t="shared" si="86"/>
        <v>-33368.445745674457</v>
      </c>
      <c r="AI99" s="18">
        <f t="shared" si="87"/>
        <v>-33867.246043929445</v>
      </c>
      <c r="AJ99" s="18">
        <f t="shared" si="88"/>
        <v>-34120.139821739067</v>
      </c>
    </row>
    <row r="100" spans="6:36" x14ac:dyDescent="0.4">
      <c r="F100">
        <v>43800</v>
      </c>
      <c r="G100" s="6">
        <f t="shared" si="60"/>
        <v>-1.938296081747674</v>
      </c>
      <c r="H100" s="6">
        <f t="shared" si="61"/>
        <v>-2.248859081711605</v>
      </c>
      <c r="I100" s="6">
        <f t="shared" si="62"/>
        <v>-2.563328636883107</v>
      </c>
      <c r="J100">
        <f t="shared" si="63"/>
        <v>-1.978296081747674</v>
      </c>
      <c r="K100">
        <f t="shared" si="64"/>
        <v>-2.288859081711605</v>
      </c>
      <c r="L100">
        <f t="shared" si="35"/>
        <v>-2.603328636883107</v>
      </c>
      <c r="M100" s="8">
        <f t="shared" si="65"/>
        <v>2.5772907814330909E-2</v>
      </c>
      <c r="N100" s="8">
        <f t="shared" si="66"/>
        <v>1.2017952765719819E-2</v>
      </c>
      <c r="O100" s="8">
        <f t="shared" si="67"/>
        <v>5.0810492307145671E-3</v>
      </c>
      <c r="P100" s="8">
        <f t="shared" si="68"/>
        <v>-0.95442576549242431</v>
      </c>
      <c r="Q100" s="8">
        <f t="shared" si="69"/>
        <v>-0.96818072054103543</v>
      </c>
      <c r="R100" s="8">
        <f t="shared" si="70"/>
        <v>-0.97511762407604063</v>
      </c>
      <c r="S100" s="10">
        <f t="shared" si="71"/>
        <v>3.6888311755438241E-5</v>
      </c>
      <c r="T100" s="10">
        <f t="shared" si="72"/>
        <v>1.949444458364145E-5</v>
      </c>
      <c r="U100" s="10">
        <f t="shared" si="73"/>
        <v>9.2633434611244578E-6</v>
      </c>
      <c r="V100" s="12">
        <f t="shared" si="74"/>
        <v>2420.2421342743028</v>
      </c>
      <c r="W100" s="12">
        <f t="shared" si="75"/>
        <v>1247.6444533530528</v>
      </c>
      <c r="X100" s="12">
        <f t="shared" si="76"/>
        <v>578.12526540877752</v>
      </c>
      <c r="Y100" s="14">
        <f t="shared" si="77"/>
        <v>-47.684370332324825</v>
      </c>
      <c r="Z100" s="14">
        <f t="shared" si="78"/>
        <v>-47.344508760030038</v>
      </c>
      <c r="AA100" s="14">
        <f t="shared" si="79"/>
        <v>-47.004647187735245</v>
      </c>
      <c r="AB100" s="16">
        <f t="shared" si="80"/>
        <v>6.2529866384011257E-3</v>
      </c>
      <c r="AC100" s="16">
        <f t="shared" si="81"/>
        <v>10.148101292000774</v>
      </c>
      <c r="AD100" s="16">
        <f t="shared" si="82"/>
        <v>20.289949597363034</v>
      </c>
      <c r="AE100" s="18">
        <f t="shared" si="83"/>
        <v>-222.23159449900604</v>
      </c>
      <c r="AF100" s="18">
        <f t="shared" si="84"/>
        <v>-101.83998257684004</v>
      </c>
      <c r="AG100" s="18">
        <f t="shared" si="85"/>
        <v>-42.33470046276755</v>
      </c>
      <c r="AH100" s="18">
        <f t="shared" si="86"/>
        <v>-33485.382393755033</v>
      </c>
      <c r="AI100" s="18">
        <f t="shared" si="87"/>
        <v>-33928.075437684485</v>
      </c>
      <c r="AJ100" s="18">
        <f t="shared" si="88"/>
        <v>-34148.586821585974</v>
      </c>
    </row>
    <row r="101" spans="6:36" x14ac:dyDescent="0.4">
      <c r="F101">
        <v>43900</v>
      </c>
      <c r="G101" s="6">
        <f t="shared" si="60"/>
        <v>-1.9953086492158063</v>
      </c>
      <c r="H101" s="6">
        <f t="shared" si="61"/>
        <v>-2.3058716491797351</v>
      </c>
      <c r="I101" s="6">
        <f t="shared" si="62"/>
        <v>-2.6203412043512371</v>
      </c>
      <c r="J101">
        <f t="shared" si="63"/>
        <v>-2.0353086492158061</v>
      </c>
      <c r="K101">
        <f t="shared" si="64"/>
        <v>-2.3458716491797351</v>
      </c>
      <c r="L101">
        <f t="shared" si="35"/>
        <v>-2.6603412043512371</v>
      </c>
      <c r="M101" s="8">
        <f t="shared" si="65"/>
        <v>2.2549091706770434E-2</v>
      </c>
      <c r="N101" s="8">
        <f t="shared" si="66"/>
        <v>1.0349822323144757E-2</v>
      </c>
      <c r="O101" s="8">
        <f t="shared" si="67"/>
        <v>4.3051222263328819E-3</v>
      </c>
      <c r="P101" s="8">
        <f t="shared" si="68"/>
        <v>-0.95764958159998481</v>
      </c>
      <c r="Q101" s="8">
        <f t="shared" si="69"/>
        <v>-0.96984885098361051</v>
      </c>
      <c r="R101" s="8">
        <f t="shared" si="70"/>
        <v>-0.97589355108042242</v>
      </c>
      <c r="S101" s="10">
        <f t="shared" si="71"/>
        <v>3.2975415326436717E-5</v>
      </c>
      <c r="T101" s="10">
        <f t="shared" si="72"/>
        <v>1.7120748409842666E-5</v>
      </c>
      <c r="U101" s="10">
        <f t="shared" si="73"/>
        <v>7.9908559773937999E-6</v>
      </c>
      <c r="V101" s="12">
        <f t="shared" si="74"/>
        <v>2163.5169995675133</v>
      </c>
      <c r="W101" s="12">
        <f t="shared" si="75"/>
        <v>1095.7278982299306</v>
      </c>
      <c r="X101" s="12">
        <f t="shared" si="76"/>
        <v>498.70932154914703</v>
      </c>
      <c r="Y101" s="14">
        <f t="shared" si="77"/>
        <v>-42.644616599593817</v>
      </c>
      <c r="Z101" s="14">
        <f t="shared" si="78"/>
        <v>-42.335905788373253</v>
      </c>
      <c r="AA101" s="14">
        <f t="shared" si="79"/>
        <v>-42.027194977152682</v>
      </c>
      <c r="AB101" s="16">
        <f t="shared" si="80"/>
        <v>6.9675855976742014</v>
      </c>
      <c r="AC101" s="16">
        <f t="shared" si="81"/>
        <v>17.078283141962402</v>
      </c>
      <c r="AD101" s="16">
        <f t="shared" si="82"/>
        <v>27.188980686250488</v>
      </c>
      <c r="AE101" s="18">
        <f t="shared" si="83"/>
        <v>-195.88279228736127</v>
      </c>
      <c r="AF101" s="18">
        <f t="shared" si="84"/>
        <v>-88.374565254533934</v>
      </c>
      <c r="AG101" s="18">
        <f t="shared" si="85"/>
        <v>-36.14966870113021</v>
      </c>
      <c r="AH101" s="18">
        <f t="shared" si="86"/>
        <v>-33589.598143899595</v>
      </c>
      <c r="AI101" s="18">
        <f t="shared" si="87"/>
        <v>-33981.335238065178</v>
      </c>
      <c r="AJ101" s="18">
        <f t="shared" si="88"/>
        <v>-34173.050906497418</v>
      </c>
    </row>
    <row r="102" spans="6:36" x14ac:dyDescent="0.4">
      <c r="F102">
        <v>44000</v>
      </c>
      <c r="G102" s="6">
        <f t="shared" si="60"/>
        <v>-2.0521914951441937</v>
      </c>
      <c r="H102" s="6">
        <f t="shared" si="61"/>
        <v>-2.3627544951081223</v>
      </c>
      <c r="I102" s="6">
        <f t="shared" si="62"/>
        <v>-2.6772240502796252</v>
      </c>
      <c r="J102">
        <f t="shared" si="63"/>
        <v>-2.0921914951441938</v>
      </c>
      <c r="K102">
        <f t="shared" si="64"/>
        <v>-2.4027544951081223</v>
      </c>
      <c r="L102">
        <f t="shared" si="35"/>
        <v>-2.7172240502796252</v>
      </c>
      <c r="M102" s="8">
        <f t="shared" si="65"/>
        <v>1.9678005763757868E-2</v>
      </c>
      <c r="N102" s="8">
        <f t="shared" si="66"/>
        <v>8.8902460668051197E-3</v>
      </c>
      <c r="O102" s="8">
        <f t="shared" si="67"/>
        <v>3.6382511987490284E-3</v>
      </c>
      <c r="P102" s="8">
        <f t="shared" si="68"/>
        <v>-0.96052066754299736</v>
      </c>
      <c r="Q102" s="8">
        <f t="shared" si="69"/>
        <v>-0.97130842723995015</v>
      </c>
      <c r="R102" s="8">
        <f t="shared" si="70"/>
        <v>-0.9765604221080062</v>
      </c>
      <c r="S102" s="10">
        <f t="shared" si="71"/>
        <v>2.9389739891752896E-5</v>
      </c>
      <c r="T102" s="10">
        <f t="shared" si="72"/>
        <v>1.4991879898952046E-5</v>
      </c>
      <c r="U102" s="10">
        <f t="shared" si="73"/>
        <v>6.8731848786351418E-6</v>
      </c>
      <c r="V102" s="12">
        <f t="shared" si="74"/>
        <v>1928.2608342979076</v>
      </c>
      <c r="W102" s="12">
        <f t="shared" si="75"/>
        <v>959.48031353293095</v>
      </c>
      <c r="X102" s="12">
        <f t="shared" si="76"/>
        <v>428.95546827561918</v>
      </c>
      <c r="Y102" s="14">
        <f t="shared" si="77"/>
        <v>-38.023077816119482</v>
      </c>
      <c r="Z102" s="14">
        <f t="shared" si="78"/>
        <v>-37.74374408751067</v>
      </c>
      <c r="AA102" s="14">
        <f t="shared" si="79"/>
        <v>-37.464410358901858</v>
      </c>
      <c r="AB102" s="16">
        <f t="shared" si="80"/>
        <v>13.51070325945318</v>
      </c>
      <c r="AC102" s="16">
        <f t="shared" si="81"/>
        <v>23.592023721129522</v>
      </c>
      <c r="AD102" s="16">
        <f t="shared" si="82"/>
        <v>33.673344182805863</v>
      </c>
      <c r="AE102" s="18">
        <f t="shared" si="83"/>
        <v>-172.2057828937796</v>
      </c>
      <c r="AF102" s="18">
        <f t="shared" si="84"/>
        <v>-76.486621896216192</v>
      </c>
      <c r="AG102" s="18">
        <f t="shared" si="85"/>
        <v>-30.786108781751622</v>
      </c>
      <c r="AH102" s="18">
        <f t="shared" si="86"/>
        <v>-33682.200115198022</v>
      </c>
      <c r="AI102" s="18">
        <f t="shared" si="87"/>
        <v>-34027.830344960443</v>
      </c>
      <c r="AJ102" s="18">
        <f t="shared" si="88"/>
        <v>-34194.0287521676</v>
      </c>
    </row>
    <row r="103" spans="6:36" x14ac:dyDescent="0.4">
      <c r="F103">
        <v>44100</v>
      </c>
      <c r="G103" s="6">
        <f t="shared" si="60"/>
        <v>-2.1089452085076705</v>
      </c>
      <c r="H103" s="6">
        <f t="shared" si="61"/>
        <v>-2.4195082084715991</v>
      </c>
      <c r="I103" s="6">
        <f t="shared" si="62"/>
        <v>-2.7339777636431042</v>
      </c>
      <c r="J103">
        <f t="shared" si="63"/>
        <v>-2.1489452085076706</v>
      </c>
      <c r="K103">
        <f t="shared" si="64"/>
        <v>-2.4595082084715991</v>
      </c>
      <c r="L103">
        <f t="shared" si="35"/>
        <v>-2.7739777636431042</v>
      </c>
      <c r="M103" s="8">
        <f t="shared" si="65"/>
        <v>1.712863429862499E-2</v>
      </c>
      <c r="N103" s="8">
        <f t="shared" si="66"/>
        <v>7.6168837227241423E-3</v>
      </c>
      <c r="O103" s="8">
        <f t="shared" si="67"/>
        <v>3.0667608256115201E-3</v>
      </c>
      <c r="P103" s="8">
        <f t="shared" si="68"/>
        <v>-0.96307003900813026</v>
      </c>
      <c r="Q103" s="8">
        <f t="shared" si="69"/>
        <v>-0.97258178958403108</v>
      </c>
      <c r="R103" s="8">
        <f t="shared" si="70"/>
        <v>-0.97713191248114373</v>
      </c>
      <c r="S103" s="10">
        <f t="shared" si="71"/>
        <v>2.6116456954736991E-5</v>
      </c>
      <c r="T103" s="10">
        <f t="shared" si="72"/>
        <v>1.3089405088454801E-5</v>
      </c>
      <c r="U103" s="10">
        <f t="shared" si="73"/>
        <v>5.8948240881717249E-6</v>
      </c>
      <c r="V103" s="12">
        <f t="shared" si="74"/>
        <v>1713.5007408002939</v>
      </c>
      <c r="W103" s="12">
        <f t="shared" si="75"/>
        <v>837.72192566110721</v>
      </c>
      <c r="X103" s="12">
        <f t="shared" si="76"/>
        <v>367.89597134279734</v>
      </c>
      <c r="Y103" s="14">
        <f t="shared" si="77"/>
        <v>-33.801414295325273</v>
      </c>
      <c r="Z103" s="14">
        <f t="shared" si="78"/>
        <v>-33.549614035644787</v>
      </c>
      <c r="AA103" s="14">
        <f t="shared" si="79"/>
        <v>-33.2978137759643</v>
      </c>
      <c r="AB103" s="16">
        <f t="shared" si="80"/>
        <v>19.653945658551947</v>
      </c>
      <c r="AC103" s="16">
        <f t="shared" si="81"/>
        <v>29.707732651299921</v>
      </c>
      <c r="AD103" s="16">
        <f t="shared" si="82"/>
        <v>39.761519644047894</v>
      </c>
      <c r="AE103" s="18">
        <f t="shared" si="83"/>
        <v>-150.99523635877068</v>
      </c>
      <c r="AF103" s="18">
        <f t="shared" si="84"/>
        <v>-66.023287293844248</v>
      </c>
      <c r="AG103" s="18">
        <f t="shared" si="85"/>
        <v>-26.148880571354454</v>
      </c>
      <c r="AH103" s="18">
        <f t="shared" si="86"/>
        <v>-33764.239113000891</v>
      </c>
      <c r="AI103" s="18">
        <f t="shared" si="87"/>
        <v>-34068.301504121315</v>
      </c>
      <c r="AJ103" s="18">
        <f t="shared" si="88"/>
        <v>-34211.965393696133</v>
      </c>
    </row>
    <row r="104" spans="6:36" x14ac:dyDescent="0.4">
      <c r="F104">
        <v>44200</v>
      </c>
      <c r="G104" s="6">
        <f t="shared" si="60"/>
        <v>-2.165570374278976</v>
      </c>
      <c r="H104" s="6">
        <f t="shared" si="61"/>
        <v>-2.4761333742429033</v>
      </c>
      <c r="I104" s="6">
        <f t="shared" si="62"/>
        <v>-2.7906029294144052</v>
      </c>
      <c r="J104">
        <f t="shared" si="63"/>
        <v>-2.2055703742789761</v>
      </c>
      <c r="K104">
        <f t="shared" si="64"/>
        <v>-2.5161333742429033</v>
      </c>
      <c r="L104">
        <f t="shared" si="35"/>
        <v>-2.8306029294144053</v>
      </c>
      <c r="M104" s="8">
        <f t="shared" si="65"/>
        <v>1.4871590098758184E-2</v>
      </c>
      <c r="N104" s="8">
        <f t="shared" si="66"/>
        <v>6.5092030244804739E-3</v>
      </c>
      <c r="O104" s="8">
        <f t="shared" si="67"/>
        <v>2.5784111136555724E-3</v>
      </c>
      <c r="P104" s="8">
        <f t="shared" si="68"/>
        <v>-0.96532708320799709</v>
      </c>
      <c r="Q104" s="8">
        <f t="shared" si="69"/>
        <v>-0.97368947028227482</v>
      </c>
      <c r="R104" s="8">
        <f t="shared" si="70"/>
        <v>-0.97762026219309972</v>
      </c>
      <c r="S104" s="10">
        <f t="shared" si="71"/>
        <v>2.3139545344892955E-5</v>
      </c>
      <c r="T104" s="10">
        <f t="shared" si="72"/>
        <v>1.1395230298858741E-5</v>
      </c>
      <c r="U104" s="10">
        <f t="shared" si="73"/>
        <v>5.0412776095147774E-6</v>
      </c>
      <c r="V104" s="12">
        <f t="shared" si="74"/>
        <v>1518.1855700784267</v>
      </c>
      <c r="W104" s="12">
        <f t="shared" si="75"/>
        <v>729.29473912695937</v>
      </c>
      <c r="X104" s="12">
        <f t="shared" si="76"/>
        <v>314.6261356098172</v>
      </c>
      <c r="Y104" s="14">
        <f t="shared" si="77"/>
        <v>-29.959638000225851</v>
      </c>
      <c r="Z104" s="14">
        <f t="shared" si="78"/>
        <v>-29.733493266626166</v>
      </c>
      <c r="AA104" s="14">
        <f t="shared" si="79"/>
        <v>-29.507348533026484</v>
      </c>
      <c r="AB104" s="16">
        <f t="shared" si="80"/>
        <v>25.41730083195614</v>
      </c>
      <c r="AC104" s="16">
        <f t="shared" si="81"/>
        <v>35.445432298623246</v>
      </c>
      <c r="AD104" s="16">
        <f t="shared" si="82"/>
        <v>45.473563765290692</v>
      </c>
      <c r="AE104" s="18">
        <f t="shared" si="83"/>
        <v>-132.0523516279836</v>
      </c>
      <c r="AF104" s="18">
        <f t="shared" si="84"/>
        <v>-56.841650706990052</v>
      </c>
      <c r="AG104" s="18">
        <f t="shared" si="85"/>
        <v>-22.151569247715646</v>
      </c>
      <c r="AH104" s="18">
        <f t="shared" si="86"/>
        <v>-33836.706518364714</v>
      </c>
      <c r="AI104" s="18">
        <f t="shared" si="87"/>
        <v>-34103.427095464205</v>
      </c>
      <c r="AJ104" s="18">
        <f t="shared" si="88"/>
        <v>-34227.257895994757</v>
      </c>
    </row>
    <row r="105" spans="6:36" x14ac:dyDescent="0.4">
      <c r="F105">
        <v>44300</v>
      </c>
      <c r="G105" s="6">
        <f t="shared" si="60"/>
        <v>-2.2220675734649111</v>
      </c>
      <c r="H105" s="6">
        <f t="shared" si="61"/>
        <v>-2.5326305734288415</v>
      </c>
      <c r="I105" s="6">
        <f t="shared" si="62"/>
        <v>-2.8471001286003461</v>
      </c>
      <c r="J105">
        <f t="shared" si="63"/>
        <v>-2.2620675734649112</v>
      </c>
      <c r="K105">
        <f t="shared" si="64"/>
        <v>-2.5726305734288415</v>
      </c>
      <c r="L105">
        <f t="shared" si="35"/>
        <v>-2.8871001286003461</v>
      </c>
      <c r="M105" s="8">
        <f t="shared" si="65"/>
        <v>1.2879192690933352E-2</v>
      </c>
      <c r="N105" s="8">
        <f t="shared" si="66"/>
        <v>5.5484242235466011E-3</v>
      </c>
      <c r="O105" s="8">
        <f t="shared" si="67"/>
        <v>2.1622929365252858E-3</v>
      </c>
      <c r="P105" s="8">
        <f t="shared" si="68"/>
        <v>-0.96731948061582185</v>
      </c>
      <c r="Q105" s="8">
        <f t="shared" si="69"/>
        <v>-0.97465024908320863</v>
      </c>
      <c r="R105" s="8">
        <f t="shared" si="70"/>
        <v>-0.97803638037023</v>
      </c>
      <c r="S105" s="10">
        <f t="shared" si="71"/>
        <v>2.0442139785003331E-5</v>
      </c>
      <c r="T105" s="10">
        <f t="shared" si="72"/>
        <v>9.8917819445334364E-6</v>
      </c>
      <c r="U105" s="10">
        <f t="shared" si="73"/>
        <v>4.2990855083317756E-6</v>
      </c>
      <c r="V105" s="12">
        <f t="shared" si="74"/>
        <v>1341.2087912940683</v>
      </c>
      <c r="W105" s="12">
        <f t="shared" si="75"/>
        <v>633.07404445013992</v>
      </c>
      <c r="X105" s="12">
        <f t="shared" si="76"/>
        <v>268.30592657498613</v>
      </c>
      <c r="Y105" s="14">
        <f t="shared" si="77"/>
        <v>-26.476572066568927</v>
      </c>
      <c r="Z105" s="14">
        <f t="shared" si="78"/>
        <v>-26.274201328961205</v>
      </c>
      <c r="AA105" s="14">
        <f t="shared" si="79"/>
        <v>-26.071830591353482</v>
      </c>
      <c r="AB105" s="16">
        <f t="shared" si="80"/>
        <v>30.821945643917502</v>
      </c>
      <c r="AC105" s="16">
        <f t="shared" si="81"/>
        <v>40.826303114592974</v>
      </c>
      <c r="AD105" s="16">
        <f t="shared" si="82"/>
        <v>50.83066058526822</v>
      </c>
      <c r="AE105" s="18">
        <f t="shared" si="83"/>
        <v>-115.18605611938486</v>
      </c>
      <c r="AF105" s="18">
        <f t="shared" si="84"/>
        <v>-48.808855551434704</v>
      </c>
      <c r="AG105" s="18">
        <f t="shared" si="85"/>
        <v>-18.716056378942685</v>
      </c>
      <c r="AH105" s="18">
        <f t="shared" si="86"/>
        <v>-33900.532317873018</v>
      </c>
      <c r="AI105" s="18">
        <f t="shared" si="87"/>
        <v>-34133.825452346005</v>
      </c>
      <c r="AJ105" s="18">
        <f t="shared" si="88"/>
        <v>-34240.25905112263</v>
      </c>
    </row>
    <row r="106" spans="6:36" x14ac:dyDescent="0.4">
      <c r="F106">
        <v>44400</v>
      </c>
      <c r="G106" s="6">
        <f t="shared" si="60"/>
        <v>-2.2784373831421405</v>
      </c>
      <c r="H106" s="6">
        <f t="shared" si="61"/>
        <v>-2.5890003831060691</v>
      </c>
      <c r="I106" s="6">
        <f t="shared" si="62"/>
        <v>-2.9034699382775719</v>
      </c>
      <c r="J106">
        <f t="shared" si="63"/>
        <v>-2.3184373831421405</v>
      </c>
      <c r="K106">
        <f t="shared" si="64"/>
        <v>-2.6290003831060691</v>
      </c>
      <c r="L106">
        <f t="shared" si="35"/>
        <v>-2.943469938277572</v>
      </c>
      <c r="M106" s="8">
        <f t="shared" si="65"/>
        <v>1.1125515301460259E-2</v>
      </c>
      <c r="N106" s="8">
        <f t="shared" si="66"/>
        <v>4.7174505463650693E-3</v>
      </c>
      <c r="O106" s="8">
        <f t="shared" si="67"/>
        <v>1.8087233614600957E-3</v>
      </c>
      <c r="P106" s="8">
        <f t="shared" si="68"/>
        <v>-0.96907315800529503</v>
      </c>
      <c r="Q106" s="8">
        <f t="shared" si="69"/>
        <v>-0.97548122276039018</v>
      </c>
      <c r="R106" s="8">
        <f t="shared" si="70"/>
        <v>-0.97838994994529516</v>
      </c>
      <c r="S106" s="10">
        <f t="shared" si="71"/>
        <v>1.8006848217763975E-5</v>
      </c>
      <c r="T106" s="10">
        <f t="shared" si="72"/>
        <v>8.5621525500616674E-6</v>
      </c>
      <c r="U106" s="10">
        <f t="shared" si="73"/>
        <v>3.6558296486488622E-6</v>
      </c>
      <c r="V106" s="12">
        <f t="shared" si="74"/>
        <v>1181.4293115674946</v>
      </c>
      <c r="W106" s="12">
        <f t="shared" si="75"/>
        <v>547.97776320394678</v>
      </c>
      <c r="X106" s="12">
        <f t="shared" si="76"/>
        <v>228.16032837217548</v>
      </c>
      <c r="Y106" s="14">
        <f t="shared" si="77"/>
        <v>-23.330269915460804</v>
      </c>
      <c r="Z106" s="14">
        <f t="shared" si="78"/>
        <v>-23.149814127347632</v>
      </c>
      <c r="AA106" s="14">
        <f t="shared" si="79"/>
        <v>-22.969358339234461</v>
      </c>
      <c r="AB106" s="16">
        <f t="shared" si="80"/>
        <v>35.88982667333039</v>
      </c>
      <c r="AC106" s="16">
        <f t="shared" si="81"/>
        <v>45.872269194511205</v>
      </c>
      <c r="AD106" s="16">
        <f t="shared" si="82"/>
        <v>55.854711715691792</v>
      </c>
      <c r="AE106" s="18">
        <f t="shared" si="83"/>
        <v>-100.21396023058264</v>
      </c>
      <c r="AF106" s="18">
        <f t="shared" si="84"/>
        <v>-41.802054450817167</v>
      </c>
      <c r="AG106" s="18">
        <f t="shared" si="85"/>
        <v>-15.772047571528164</v>
      </c>
      <c r="AH106" s="18">
        <f t="shared" si="86"/>
        <v>-33956.584156257872</v>
      </c>
      <c r="AI106" s="18">
        <f t="shared" si="87"/>
        <v>-34160.057598332642</v>
      </c>
      <c r="AJ106" s="18">
        <f t="shared" si="88"/>
        <v>-34251.281040530281</v>
      </c>
    </row>
    <row r="107" spans="6:36" x14ac:dyDescent="0.4">
      <c r="F107">
        <v>44500</v>
      </c>
      <c r="G107" s="6">
        <f t="shared" si="60"/>
        <v>-2.3346803764925266</v>
      </c>
      <c r="H107" s="6">
        <f t="shared" si="61"/>
        <v>-2.6452433764564565</v>
      </c>
      <c r="I107" s="6">
        <f t="shared" si="62"/>
        <v>-2.9597129316279602</v>
      </c>
      <c r="J107">
        <f t="shared" si="63"/>
        <v>-2.3746803764925266</v>
      </c>
      <c r="K107">
        <f t="shared" si="64"/>
        <v>-2.6852433764564565</v>
      </c>
      <c r="L107">
        <f t="shared" si="35"/>
        <v>-2.9997129316279603</v>
      </c>
      <c r="M107" s="8">
        <f t="shared" si="65"/>
        <v>9.58640387096109E-3</v>
      </c>
      <c r="N107" s="8">
        <f t="shared" si="66"/>
        <v>4.0007877314520513E-3</v>
      </c>
      <c r="O107" s="8">
        <f t="shared" si="67"/>
        <v>1.5091424250182988E-3</v>
      </c>
      <c r="P107" s="8">
        <f t="shared" si="68"/>
        <v>-0.97061226943579415</v>
      </c>
      <c r="Q107" s="8">
        <f t="shared" si="69"/>
        <v>-0.97619788557530318</v>
      </c>
      <c r="R107" s="8">
        <f t="shared" si="70"/>
        <v>-0.97868953088173694</v>
      </c>
      <c r="S107" s="10">
        <f t="shared" si="71"/>
        <v>1.5816036068037096E-5</v>
      </c>
      <c r="T107" s="10">
        <f t="shared" si="72"/>
        <v>7.3902152090102631E-6</v>
      </c>
      <c r="U107" s="10">
        <f t="shared" si="73"/>
        <v>3.1001223545308179E-6</v>
      </c>
      <c r="V107" s="12">
        <f t="shared" si="74"/>
        <v>1037.6901264239139</v>
      </c>
      <c r="W107" s="12">
        <f t="shared" si="75"/>
        <v>472.97377337665682</v>
      </c>
      <c r="X107" s="12">
        <f t="shared" si="76"/>
        <v>193.47863614626837</v>
      </c>
      <c r="Y107" s="14">
        <f t="shared" si="77"/>
        <v>-20.498391454367365</v>
      </c>
      <c r="Z107" s="14">
        <f t="shared" si="78"/>
        <v>-20.338035708774779</v>
      </c>
      <c r="AA107" s="14">
        <f t="shared" si="79"/>
        <v>-20.177679963182186</v>
      </c>
      <c r="AB107" s="16">
        <f t="shared" si="80"/>
        <v>40.643284012728373</v>
      </c>
      <c r="AC107" s="16">
        <f t="shared" si="81"/>
        <v>50.605626491388762</v>
      </c>
      <c r="AD107" s="16">
        <f t="shared" si="82"/>
        <v>60.56796897004881</v>
      </c>
      <c r="AE107" s="18">
        <f t="shared" si="83"/>
        <v>-86.963081909427984</v>
      </c>
      <c r="AF107" s="18">
        <f t="shared" si="84"/>
        <v>-35.7082406593683</v>
      </c>
      <c r="AG107" s="18">
        <f t="shared" si="85"/>
        <v>-13.256571100411609</v>
      </c>
      <c r="AH107" s="18">
        <f t="shared" si="86"/>
        <v>-34005.667290871934</v>
      </c>
      <c r="AI107" s="18">
        <f t="shared" si="87"/>
        <v>-34182.630297137723</v>
      </c>
      <c r="AJ107" s="18">
        <f t="shared" si="88"/>
        <v>-34260.599011048624</v>
      </c>
    </row>
    <row r="108" spans="6:36" x14ac:dyDescent="0.4">
      <c r="F108">
        <v>44600</v>
      </c>
      <c r="G108" s="6">
        <f t="shared" si="60"/>
        <v>-2.3907971228381246</v>
      </c>
      <c r="H108" s="6">
        <f t="shared" si="61"/>
        <v>-2.701360122802051</v>
      </c>
      <c r="I108" s="6">
        <f t="shared" si="62"/>
        <v>-3.0158296779735552</v>
      </c>
      <c r="J108">
        <f t="shared" si="63"/>
        <v>-2.4307971228381247</v>
      </c>
      <c r="K108">
        <f t="shared" si="64"/>
        <v>-2.741360122802051</v>
      </c>
      <c r="L108">
        <f t="shared" ref="L108:L112" si="89">$I108-sigma2*SQRT(TimeofExpiration2)</f>
        <v>-3.0558296779735552</v>
      </c>
      <c r="M108" s="8">
        <f t="shared" si="65"/>
        <v>8.2394715518508427E-3</v>
      </c>
      <c r="N108" s="8">
        <f t="shared" si="66"/>
        <v>3.3844555132386094E-3</v>
      </c>
      <c r="O108" s="8">
        <f t="shared" si="67"/>
        <v>1.2560127172772965E-3</v>
      </c>
      <c r="P108" s="8">
        <f t="shared" si="68"/>
        <v>-0.97195920175490436</v>
      </c>
      <c r="Q108" s="8">
        <f t="shared" si="69"/>
        <v>-0.97681421779351663</v>
      </c>
      <c r="R108" s="8">
        <f t="shared" si="70"/>
        <v>-0.97894266058947799</v>
      </c>
      <c r="S108" s="10">
        <f t="shared" si="71"/>
        <v>1.3852076583867563E-5</v>
      </c>
      <c r="T108" s="10">
        <f t="shared" si="72"/>
        <v>6.3607090691595443E-6</v>
      </c>
      <c r="U108" s="10">
        <f t="shared" si="73"/>
        <v>2.621581011985341E-6</v>
      </c>
      <c r="V108" s="12">
        <f t="shared" si="74"/>
        <v>908.83474466755081</v>
      </c>
      <c r="W108" s="12">
        <f t="shared" si="75"/>
        <v>407.0853804262108</v>
      </c>
      <c r="X108" s="12">
        <f t="shared" si="76"/>
        <v>163.61287095800512</v>
      </c>
      <c r="Y108" s="14">
        <f t="shared" si="77"/>
        <v>-17.958535140028857</v>
      </c>
      <c r="Z108" s="14">
        <f t="shared" si="78"/>
        <v>-17.816526214888711</v>
      </c>
      <c r="AA108" s="14">
        <f t="shared" si="79"/>
        <v>-17.674517289748561</v>
      </c>
      <c r="AB108" s="16">
        <f t="shared" si="80"/>
        <v>45.104719205371453</v>
      </c>
      <c r="AC108" s="16">
        <f t="shared" si="81"/>
        <v>55.048714863579221</v>
      </c>
      <c r="AD108" s="16">
        <f t="shared" si="82"/>
        <v>64.992710521786876</v>
      </c>
      <c r="AE108" s="18">
        <f t="shared" si="83"/>
        <v>-75.27035890339701</v>
      </c>
      <c r="AF108" s="18">
        <f t="shared" si="84"/>
        <v>-30.423976217015799</v>
      </c>
      <c r="AG108" s="18">
        <f t="shared" si="85"/>
        <v>-11.113460191902766</v>
      </c>
      <c r="AH108" s="18">
        <f t="shared" si="86"/>
        <v>-34048.525326789873</v>
      </c>
      <c r="AI108" s="18">
        <f t="shared" si="87"/>
        <v>-34201.999321423908</v>
      </c>
      <c r="AJ108" s="18">
        <f t="shared" si="88"/>
        <v>-34268.454523595887</v>
      </c>
    </row>
    <row r="109" spans="6:36" x14ac:dyDescent="0.4">
      <c r="F109">
        <v>44700</v>
      </c>
      <c r="G109" s="6">
        <f t="shared" si="60"/>
        <v>-2.4467881876757418</v>
      </c>
      <c r="H109" s="6">
        <f t="shared" si="61"/>
        <v>-2.7573511876396721</v>
      </c>
      <c r="I109" s="6">
        <f t="shared" si="62"/>
        <v>-3.0718207428111737</v>
      </c>
      <c r="J109">
        <f t="shared" si="63"/>
        <v>-2.4867881876757418</v>
      </c>
      <c r="K109">
        <f t="shared" si="64"/>
        <v>-2.7973511876396722</v>
      </c>
      <c r="L109">
        <f t="shared" si="89"/>
        <v>-3.1118207428111737</v>
      </c>
      <c r="M109" s="8">
        <f t="shared" si="65"/>
        <v>7.0640721010098778E-3</v>
      </c>
      <c r="N109" s="8">
        <f t="shared" si="66"/>
        <v>2.8558936318124986E-3</v>
      </c>
      <c r="O109" s="8">
        <f t="shared" si="67"/>
        <v>1.0427228546636942E-3</v>
      </c>
      <c r="P109" s="8">
        <f t="shared" si="68"/>
        <v>-0.97313460120574535</v>
      </c>
      <c r="Q109" s="8">
        <f t="shared" si="69"/>
        <v>-0.97734277967494276</v>
      </c>
      <c r="R109" s="8">
        <f t="shared" si="70"/>
        <v>-0.97915595045209158</v>
      </c>
      <c r="S109" s="10">
        <f t="shared" si="71"/>
        <v>1.2097567252283079E-5</v>
      </c>
      <c r="T109" s="10">
        <f t="shared" si="72"/>
        <v>5.4592986577392422E-6</v>
      </c>
      <c r="U109" s="10">
        <f t="shared" si="73"/>
        <v>2.2107914216243266E-6</v>
      </c>
      <c r="V109" s="12">
        <f t="shared" si="74"/>
        <v>793.72138742229288</v>
      </c>
      <c r="W109" s="12">
        <f t="shared" si="75"/>
        <v>349.3951140953115</v>
      </c>
      <c r="X109" s="12">
        <f t="shared" si="76"/>
        <v>137.97549262357421</v>
      </c>
      <c r="Y109" s="14">
        <f t="shared" si="77"/>
        <v>-15.688525802953659</v>
      </c>
      <c r="Z109" s="14">
        <f t="shared" si="78"/>
        <v>-15.563185934476772</v>
      </c>
      <c r="AA109" s="14">
        <f t="shared" si="79"/>
        <v>-15.437846065999883</v>
      </c>
      <c r="AB109" s="16">
        <f t="shared" si="80"/>
        <v>49.296307420751418</v>
      </c>
      <c r="AC109" s="16">
        <f t="shared" si="81"/>
        <v>59.223634022295869</v>
      </c>
      <c r="AD109" s="16">
        <f t="shared" si="82"/>
        <v>69.150960623840319</v>
      </c>
      <c r="AE109" s="18">
        <f t="shared" si="83"/>
        <v>-64.982968066914054</v>
      </c>
      <c r="AF109" s="18">
        <f t="shared" si="84"/>
        <v>-25.855036190735724</v>
      </c>
      <c r="AG109" s="18">
        <f t="shared" si="85"/>
        <v>-9.2928298894291359</v>
      </c>
      <c r="AH109" s="18">
        <f t="shared" si="86"/>
        <v>-34085.841613712451</v>
      </c>
      <c r="AI109" s="18">
        <f t="shared" si="87"/>
        <v>-34218.572856654668</v>
      </c>
      <c r="AJ109" s="18">
        <f t="shared" si="88"/>
        <v>-34275.058842866645</v>
      </c>
    </row>
    <row r="110" spans="6:36" x14ac:dyDescent="0.4">
      <c r="F110">
        <v>44800</v>
      </c>
      <c r="G110" s="6">
        <f t="shared" si="60"/>
        <v>-2.502654132711152</v>
      </c>
      <c r="H110" s="6">
        <f t="shared" si="61"/>
        <v>-2.8132171326750779</v>
      </c>
      <c r="I110" s="6">
        <f t="shared" si="62"/>
        <v>-3.1276866878465812</v>
      </c>
      <c r="J110">
        <f t="shared" si="63"/>
        <v>-2.542654132711152</v>
      </c>
      <c r="K110">
        <f t="shared" si="64"/>
        <v>-2.8532171326750779</v>
      </c>
      <c r="L110">
        <f t="shared" si="89"/>
        <v>-3.1676866878465813</v>
      </c>
      <c r="M110" s="8">
        <f t="shared" si="65"/>
        <v>6.0412554930949968E-3</v>
      </c>
      <c r="N110" s="8">
        <f t="shared" si="66"/>
        <v>2.4038646496038194E-3</v>
      </c>
      <c r="O110" s="8">
        <f t="shared" si="67"/>
        <v>8.6349566688919744E-4</v>
      </c>
      <c r="P110" s="8">
        <f t="shared" si="68"/>
        <v>-0.97415741781366028</v>
      </c>
      <c r="Q110" s="8">
        <f t="shared" si="69"/>
        <v>-0.9777948086571514</v>
      </c>
      <c r="R110" s="8">
        <f t="shared" si="70"/>
        <v>-0.97933517763986611</v>
      </c>
      <c r="S110" s="10">
        <f t="shared" si="71"/>
        <v>1.0535513017359381E-5</v>
      </c>
      <c r="T110" s="10">
        <f t="shared" si="72"/>
        <v>4.6726099844490543E-6</v>
      </c>
      <c r="U110" s="10">
        <f t="shared" si="73"/>
        <v>1.8592624746257273E-6</v>
      </c>
      <c r="V110" s="12">
        <f t="shared" si="74"/>
        <v>691.23500906894913</v>
      </c>
      <c r="W110" s="12">
        <f t="shared" si="75"/>
        <v>299.04703900473947</v>
      </c>
      <c r="X110" s="12">
        <f t="shared" si="76"/>
        <v>116.03657104139164</v>
      </c>
      <c r="Y110" s="14">
        <f t="shared" si="77"/>
        <v>-13.666659100911218</v>
      </c>
      <c r="Z110" s="14">
        <f t="shared" si="78"/>
        <v>-13.556396344960946</v>
      </c>
      <c r="AA110" s="14">
        <f t="shared" si="79"/>
        <v>-13.446133589010673</v>
      </c>
      <c r="AB110" s="16">
        <f t="shared" si="80"/>
        <v>53.239753001098393</v>
      </c>
      <c r="AC110" s="16">
        <f t="shared" si="81"/>
        <v>63.152002490116161</v>
      </c>
      <c r="AD110" s="16">
        <f t="shared" si="82"/>
        <v>73.064251979134156</v>
      </c>
      <c r="AE110" s="18">
        <f t="shared" si="83"/>
        <v>-55.958472196045797</v>
      </c>
      <c r="AF110" s="18">
        <f t="shared" si="84"/>
        <v>-21.915987068932438</v>
      </c>
      <c r="AG110" s="18">
        <f t="shared" si="85"/>
        <v>-7.7505577368922767</v>
      </c>
      <c r="AH110" s="18">
        <f t="shared" si="86"/>
        <v>-34118.241190462133</v>
      </c>
      <c r="AI110" s="18">
        <f t="shared" si="87"/>
        <v>-34232.714966821208</v>
      </c>
      <c r="AJ110" s="18">
        <f t="shared" si="88"/>
        <v>-34280.596044631202</v>
      </c>
    </row>
    <row r="111" spans="6:36" x14ac:dyDescent="0.4">
      <c r="F111">
        <v>44900</v>
      </c>
      <c r="G111" s="6">
        <f t="shared" si="60"/>
        <v>-2.5583955158928799</v>
      </c>
      <c r="H111" s="6">
        <f t="shared" si="61"/>
        <v>-2.8689585158568063</v>
      </c>
      <c r="I111" s="6">
        <f t="shared" si="62"/>
        <v>-3.18342807102831</v>
      </c>
      <c r="J111">
        <f t="shared" si="63"/>
        <v>-2.59839551589288</v>
      </c>
      <c r="K111">
        <f t="shared" si="64"/>
        <v>-2.9089585158568063</v>
      </c>
      <c r="L111">
        <f t="shared" si="89"/>
        <v>-3.2234280710283101</v>
      </c>
      <c r="M111" s="8">
        <f t="shared" si="65"/>
        <v>5.1537089339889442E-3</v>
      </c>
      <c r="N111" s="8">
        <f t="shared" si="66"/>
        <v>2.018355556365572E-3</v>
      </c>
      <c r="O111" s="8">
        <f t="shared" si="67"/>
        <v>7.1330169531503467E-4</v>
      </c>
      <c r="P111" s="8">
        <f t="shared" si="68"/>
        <v>-0.97504496437276633</v>
      </c>
      <c r="Q111" s="8">
        <f t="shared" si="69"/>
        <v>-0.97818031775038972</v>
      </c>
      <c r="R111" s="8">
        <f t="shared" si="70"/>
        <v>-0.97948537161144023</v>
      </c>
      <c r="S111" s="10">
        <f t="shared" si="71"/>
        <v>9.1494776356955925E-6</v>
      </c>
      <c r="T111" s="10">
        <f t="shared" si="72"/>
        <v>3.9882463925462108E-6</v>
      </c>
      <c r="U111" s="10">
        <f t="shared" si="73"/>
        <v>1.5593744652519335E-6</v>
      </c>
      <c r="V111" s="12">
        <f t="shared" si="74"/>
        <v>600.29722767798785</v>
      </c>
      <c r="W111" s="12">
        <f t="shared" si="75"/>
        <v>255.24776912295752</v>
      </c>
      <c r="X111" s="12">
        <f t="shared" si="76"/>
        <v>97.320560376373166</v>
      </c>
      <c r="Y111" s="14">
        <f t="shared" si="77"/>
        <v>-11.871904274786537</v>
      </c>
      <c r="Z111" s="14">
        <f t="shared" si="78"/>
        <v>-11.775219826428156</v>
      </c>
      <c r="AA111" s="14">
        <f t="shared" si="79"/>
        <v>-11.678535378069776</v>
      </c>
      <c r="AB111" s="16">
        <f t="shared" si="80"/>
        <v>56.956086705527809</v>
      </c>
      <c r="AC111" s="16">
        <f t="shared" si="81"/>
        <v>66.854757886953735</v>
      </c>
      <c r="AD111" s="16">
        <f t="shared" si="82"/>
        <v>76.75342906837966</v>
      </c>
      <c r="AE111" s="18">
        <f t="shared" si="83"/>
        <v>-48.064815344144762</v>
      </c>
      <c r="AF111" s="18">
        <f t="shared" si="84"/>
        <v>-18.529715885004869</v>
      </c>
      <c r="AG111" s="18">
        <f t="shared" si="85"/>
        <v>-6.4477759001338217</v>
      </c>
      <c r="AH111" s="18">
        <f t="shared" si="86"/>
        <v>-34146.29316925403</v>
      </c>
      <c r="AI111" s="18">
        <f t="shared" si="87"/>
        <v>-34244.749059366819</v>
      </c>
      <c r="AJ111" s="18">
        <f t="shared" si="88"/>
        <v>-34285.225924671628</v>
      </c>
    </row>
    <row r="112" spans="6:36" x14ac:dyDescent="0.4">
      <c r="F112">
        <v>45000</v>
      </c>
      <c r="G112" s="6">
        <f t="shared" si="60"/>
        <v>-2.6140128914456571</v>
      </c>
      <c r="H112" s="6">
        <f t="shared" si="61"/>
        <v>-2.9245758914095878</v>
      </c>
      <c r="I112" s="6">
        <f t="shared" si="62"/>
        <v>-3.2390454465810894</v>
      </c>
      <c r="J112">
        <f t="shared" si="63"/>
        <v>-2.6540128914456571</v>
      </c>
      <c r="K112">
        <f t="shared" si="64"/>
        <v>-2.9645758914095879</v>
      </c>
      <c r="L112">
        <f t="shared" si="89"/>
        <v>-3.2790454465810894</v>
      </c>
      <c r="M112" s="8">
        <f t="shared" si="65"/>
        <v>4.3856862613039704E-3</v>
      </c>
      <c r="N112" s="8">
        <f t="shared" si="66"/>
        <v>1.6904798501102378E-3</v>
      </c>
      <c r="O112" s="8">
        <f t="shared" si="67"/>
        <v>5.8777839929197108E-4</v>
      </c>
      <c r="P112" s="8">
        <f t="shared" si="68"/>
        <v>-0.97581298704545127</v>
      </c>
      <c r="Q112" s="8">
        <f t="shared" si="69"/>
        <v>-0.97850819345664497</v>
      </c>
      <c r="R112" s="8">
        <f t="shared" si="70"/>
        <v>-0.97961089490746334</v>
      </c>
      <c r="S112" s="10">
        <f t="shared" si="71"/>
        <v>7.9237049900178493E-6</v>
      </c>
      <c r="T112" s="10">
        <f t="shared" si="72"/>
        <v>3.3947870831882496E-6</v>
      </c>
      <c r="U112" s="10">
        <f t="shared" si="73"/>
        <v>1.3043230834912939E-6</v>
      </c>
      <c r="V112" s="12">
        <f t="shared" si="74"/>
        <v>519.87428439507107</v>
      </c>
      <c r="W112" s="12">
        <f t="shared" si="75"/>
        <v>217.26637332404798</v>
      </c>
      <c r="X112" s="12">
        <f t="shared" si="76"/>
        <v>81.402803640691658</v>
      </c>
      <c r="Y112" s="14">
        <f t="shared" si="77"/>
        <v>-10.284067526244131</v>
      </c>
      <c r="Z112" s="14">
        <f t="shared" si="78"/>
        <v>-10.199560368018883</v>
      </c>
      <c r="AA112" s="14">
        <f t="shared" si="79"/>
        <v>-10.115053209793631</v>
      </c>
      <c r="AB112" s="16">
        <f t="shared" si="80"/>
        <v>60.465502332374967</v>
      </c>
      <c r="AC112" s="16">
        <f t="shared" si="81"/>
        <v>70.351996223667697</v>
      </c>
      <c r="AD112" s="16">
        <f t="shared" si="82"/>
        <v>80.238490114960427</v>
      </c>
      <c r="AE112" s="18">
        <f t="shared" si="83"/>
        <v>-41.18018752428231</v>
      </c>
      <c r="AF112" s="18">
        <f t="shared" si="84"/>
        <v>-15.626925022015062</v>
      </c>
      <c r="AG112" s="18">
        <f t="shared" si="85"/>
        <v>-5.3503808404461655</v>
      </c>
      <c r="AH112" s="18">
        <f t="shared" si="86"/>
        <v>-34170.513459677903</v>
      </c>
      <c r="AI112" s="18">
        <f t="shared" si="87"/>
        <v>-34254.961296754045</v>
      </c>
      <c r="AJ112" s="18">
        <f t="shared" si="88"/>
        <v>-34289.086699804851</v>
      </c>
    </row>
  </sheetData>
  <phoneticPr fontId="1"/>
  <dataValidations disablePrompts="1" count="1">
    <dataValidation type="list" allowBlank="1" showInputMessage="1" showErrorMessage="1" sqref="C12" xr:uid="{1840C1D3-8E13-4339-BAAB-F4123A229983}">
      <formula1>"Call, Put"</formula1>
    </dataValidation>
  </dataValidations>
  <hyperlinks>
    <hyperlink ref="M2" r:id="rId1" xr:uid="{7770689A-7FFF-4D22-8627-ABF91E5F4A98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1AF72-AA9A-4AC7-89D4-B4E306D21951}">
  <sheetPr codeName="Sheet7">
    <tabColor theme="9" tint="0.59999389629810485"/>
  </sheetPr>
  <dimension ref="A1"/>
  <sheetViews>
    <sheetView workbookViewId="0">
      <selection activeCell="G36" sqref="G36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EA909-5571-4737-9F45-44704112F86F}">
  <sheetPr codeName="Sheet11"/>
  <dimension ref="B2:O66"/>
  <sheetViews>
    <sheetView tabSelected="1" topLeftCell="A34" zoomScale="85" zoomScaleNormal="85" workbookViewId="0">
      <selection activeCell="E54" sqref="E54"/>
    </sheetView>
  </sheetViews>
  <sheetFormatPr defaultRowHeight="18.75" x14ac:dyDescent="0.4"/>
  <cols>
    <col min="3" max="3" width="12.75" bestFit="1" customWidth="1"/>
    <col min="4" max="4" width="9.375" customWidth="1"/>
    <col min="5" max="5" width="12.625" customWidth="1"/>
    <col min="6" max="6" width="9.375" customWidth="1"/>
    <col min="7" max="7" width="12.375" bestFit="1" customWidth="1"/>
    <col min="8" max="8" width="10.5" bestFit="1" customWidth="1"/>
    <col min="11" max="11" width="9.375" bestFit="1" customWidth="1"/>
    <col min="13" max="13" width="9.375" bestFit="1" customWidth="1"/>
  </cols>
  <sheetData>
    <row r="2" spans="2:15" x14ac:dyDescent="0.4">
      <c r="B2" s="1" t="s">
        <v>6</v>
      </c>
      <c r="G2" s="1" t="s">
        <v>10</v>
      </c>
      <c r="J2" s="1" t="s">
        <v>9</v>
      </c>
      <c r="K2" s="1"/>
    </row>
    <row r="3" spans="2:15" x14ac:dyDescent="0.4">
      <c r="B3" t="s">
        <v>7</v>
      </c>
      <c r="C3" t="s">
        <v>8</v>
      </c>
      <c r="G3" t="s">
        <v>11</v>
      </c>
      <c r="H3">
        <v>6000</v>
      </c>
      <c r="J3" t="s">
        <v>5</v>
      </c>
      <c r="K3">
        <v>9.9999999999999995E-8</v>
      </c>
    </row>
    <row r="4" spans="2:15" x14ac:dyDescent="0.4">
      <c r="B4" t="s">
        <v>41</v>
      </c>
      <c r="C4">
        <v>2</v>
      </c>
      <c r="D4">
        <v>0</v>
      </c>
      <c r="E4">
        <v>-2</v>
      </c>
      <c r="G4" t="s">
        <v>12</v>
      </c>
      <c r="H4">
        <v>500</v>
      </c>
    </row>
    <row r="5" spans="2:15" x14ac:dyDescent="0.4">
      <c r="B5" t="s">
        <v>1</v>
      </c>
      <c r="C5">
        <v>0</v>
      </c>
    </row>
    <row r="6" spans="2:15" x14ac:dyDescent="0.4">
      <c r="B6" t="s">
        <v>2</v>
      </c>
      <c r="C6">
        <v>0.02</v>
      </c>
    </row>
    <row r="7" spans="2:15" x14ac:dyDescent="0.4">
      <c r="B7" t="s">
        <v>3</v>
      </c>
      <c r="C7">
        <v>0.5</v>
      </c>
    </row>
    <row r="8" spans="2:15" x14ac:dyDescent="0.4">
      <c r="B8" t="s">
        <v>4</v>
      </c>
      <c r="C8">
        <v>1</v>
      </c>
    </row>
    <row r="10" spans="2:15" x14ac:dyDescent="0.4">
      <c r="C10" cm="1">
        <f t="array" ref="C10">BachelieroptionValue(StockPrice,StrikePrice,rate,sigma,TimeofExpiration,Style)</f>
        <v>4900.9933665337767</v>
      </c>
      <c r="D10" cm="1">
        <f t="array" ref="D10">BachelieroptionValue(C4,C5,C6,B14,C8,C3)</f>
        <v>1.9603973466135105</v>
      </c>
    </row>
    <row r="12" spans="2:15" x14ac:dyDescent="0.4">
      <c r="B12" t="s">
        <v>3</v>
      </c>
      <c r="C12" t="s">
        <v>24</v>
      </c>
      <c r="D12" t="s">
        <v>26</v>
      </c>
      <c r="E12" t="s">
        <v>25</v>
      </c>
      <c r="G12" t="s">
        <v>3</v>
      </c>
      <c r="H12" t="s">
        <v>24</v>
      </c>
      <c r="I12" t="s">
        <v>26</v>
      </c>
      <c r="J12" t="s">
        <v>25</v>
      </c>
      <c r="L12" t="s">
        <v>14</v>
      </c>
      <c r="M12" t="s">
        <v>24</v>
      </c>
      <c r="N12" t="s">
        <v>26</v>
      </c>
      <c r="O12" t="s">
        <v>25</v>
      </c>
    </row>
    <row r="13" spans="2:15" x14ac:dyDescent="0.4">
      <c r="B13">
        <v>0.1</v>
      </c>
      <c r="C13" s="6" cm="1">
        <f t="array" ref="C13">BachelieroptionValue(C$4,各パラメータごとの形状_Bachelier!$C$5,各パラメータごとの形状_Bachelier!$C$6,$B13,各パラメータごとの形状_Bachelier!$C$8,$C$3)</f>
        <v>1.9603973466135105</v>
      </c>
      <c r="D13" s="6" cm="1">
        <f t="array" ref="D13">BachelieroptionValue(D$4,各パラメータごとの形状_Bachelier!$C$5,各パラメータごとの形状_Bachelier!$C$6,$B13,各パラメータごとの形状_Bachelier!$C$8,$C$3)</f>
        <v>3.9104269397545591E-2</v>
      </c>
      <c r="E13" s="6" cm="1">
        <f t="array" ref="E13">BachelieroptionValue(E$4,各パラメータごとの形状_Bachelier!$C$5,各パラメータごとの形状_Bachelier!$C$6,$B13,各パラメータごとの形状_Bachelier!$C$8,$C$3)</f>
        <v>1.3428844297629166E-91</v>
      </c>
      <c r="G13">
        <v>5</v>
      </c>
      <c r="H13" cm="1">
        <f t="array" ref="H13">BachelieroptionValue(C$4,各パラメータごとの形状_Bachelier!$C$5,各パラメータごとの形状_Bachelier!$C$6,$G13,各パラメータごとの形状_Bachelier!$C$8,$C$3)</f>
        <v>3.0897765578847363</v>
      </c>
      <c r="I13" cm="1">
        <f t="array" ref="I13">BachelieroptionValue(D$4,各パラメータごとの形状_Bachelier!$C$5,各パラメータごとの形状_Bachelier!$C$6,$G13,各パラメータごとの形状_Bachelier!$C$8,$C$3)</f>
        <v>1.9552134698772794</v>
      </c>
      <c r="J13" cm="1">
        <f t="array" ref="J13">BachelieroptionValue(E$4,各パラメータごとの形状_Bachelier!$C$5,各パラメータごとの形状_Bachelier!$C$6,$G13,各パラメータごとの形状_Bachelier!$C$8,$C$3)</f>
        <v>1.1293792112712258</v>
      </c>
      <c r="L13">
        <v>0.02</v>
      </c>
      <c r="M13" cm="1">
        <f t="array" ref="M13">BachelieroptionValue(C$4,各パラメータごとの形状_Bachelier!$C$5,各パラメータごとの形状_Bachelier!$L13,$C$7,各パラメータごとの形状_Bachelier!$C$8,$C$3)</f>
        <v>1.9604008484999285</v>
      </c>
      <c r="N13" cm="1">
        <f t="array" ref="N13">BachelieroptionValue(D$4,各パラメータごとの形状_Bachelier!$C$5,各パラメータごとの形状_Bachelier!$L13,$C$7,各パラメータごとの形状_Bachelier!$C$8,$C$3)</f>
        <v>0.19552134698772794</v>
      </c>
      <c r="O13" cm="1">
        <f t="array" ref="O13">BachelieroptionValue(E$4,各パラメータごとの形状_Bachelier!$C$5,各パラメータごとの形状_Bachelier!$L13,$C$7,各パラメータごとの形状_Bachelier!$C$8,$C$3)</f>
        <v>3.5018864179391046E-6</v>
      </c>
    </row>
    <row r="14" spans="2:15" x14ac:dyDescent="0.4">
      <c r="B14">
        <v>0.2</v>
      </c>
      <c r="C14" s="6" cm="1">
        <f t="array" ref="C14">BachelieroptionValue(C$4,各パラメータごとの形状_Bachelier!$C$5,各パラメータごとの形状_Bachelier!$C$6,$B14,各パラメータごとの形状_Bachelier!$C$8,$C$3)</f>
        <v>1.9603973466135105</v>
      </c>
      <c r="D14" s="6" cm="1">
        <f t="array" ref="D14">BachelieroptionValue(D$4,各パラメータごとの形状_Bachelier!$C$5,各パラメータごとの形状_Bachelier!$C$6,$B14,各パラメータごとの形状_Bachelier!$C$8,$C$3)</f>
        <v>7.8208538795091181E-2</v>
      </c>
      <c r="E14" s="6" cm="1">
        <f t="array" ref="E14">BachelieroptionValue(E$4,各パラメータごとの形状_Bachelier!$C$5,各パラメータごとの形状_Bachelier!$C$6,$B14,各パラメータごとの形状_Bachelier!$C$8,$C$3)</f>
        <v>1.4653108090209839E-25</v>
      </c>
      <c r="G14">
        <v>10</v>
      </c>
      <c r="H14" cm="1">
        <f t="array" ref="H14">BachelieroptionValue(C$4,各パラメータごとの形状_Bachelier!$C$5,各パラメータごとの形状_Bachelier!$C$6,$G14,各パラメータごとの形状_Bachelier!$C$8,$C$3)</f>
        <v>4.968574495794944</v>
      </c>
      <c r="I14" cm="1">
        <f t="array" ref="I14">BachelieroptionValue(D$4,各パラメータごとの形状_Bachelier!$C$5,各パラメータごとの形状_Bachelier!$C$6,$G14,各パラメータごとの形状_Bachelier!$C$8,$C$3)</f>
        <v>3.9104269397545588</v>
      </c>
      <c r="J14" cm="1">
        <f t="array" ref="J14">BachelieroptionValue(E$4,各パラメータごとの形状_Bachelier!$C$5,各パラメータごとの形状_Bachelier!$C$6,$G14,各パラメータごとの形状_Bachelier!$C$8,$C$3)</f>
        <v>3.0081771491814338</v>
      </c>
      <c r="L14">
        <v>0.03</v>
      </c>
      <c r="M14" cm="1">
        <f t="array" ref="M14">BachelieroptionValue(C$4,各パラメータごとの形状_Bachelier!$C$5,各パラメータごとの形状_Bachelier!$L14,$C$7,各パラメータごとの形状_Bachelier!$C$8,$C$3)</f>
        <v>1.9408945341390822</v>
      </c>
      <c r="N14" cm="1">
        <f t="array" ref="N14">BachelieroptionValue(D$4,各パラメータごとの形状_Bachelier!$C$5,各パラメータごとの形状_Bachelier!$L14,$C$7,各パラメータごとの形状_Bachelier!$C$8,$C$3)</f>
        <v>0.19357587707961346</v>
      </c>
      <c r="O14" cm="1">
        <f t="array" ref="O14">BachelieroptionValue(E$4,各パラメータごとの形状_Bachelier!$C$5,各パラメータごとの形状_Bachelier!$L14,$C$7,各パラメータごとの形状_Bachelier!$C$8,$C$3)</f>
        <v>3.4670420658890805E-6</v>
      </c>
    </row>
    <row r="15" spans="2:15" x14ac:dyDescent="0.4">
      <c r="B15">
        <v>0.3</v>
      </c>
      <c r="C15" s="6" cm="1">
        <f t="array" ref="C15">BachelieroptionValue(C$4,各パラメータごとの形状_Bachelier!$C$5,各パラメータごとの形状_Bachelier!$C$6,$B15,各パラメータごとの形状_Bachelier!$C$8,$C$3)</f>
        <v>1.9603973466140641</v>
      </c>
      <c r="D15" s="6" cm="1">
        <f t="array" ref="D15">BachelieroptionValue(D$4,各パラメータごとの形状_Bachelier!$C$5,各パラメータごとの形状_Bachelier!$C$6,$B15,各パラメータごとの形状_Bachelier!$C$8,$C$3)</f>
        <v>0.11731280819263676</v>
      </c>
      <c r="E15" s="6" cm="1">
        <f t="array" ref="E15">BachelieroptionValue(E$4,各パラメータごとの形状_Bachelier!$C$5,各パラメータごとの形状_Bachelier!$C$6,$B15,各パラメータごとの形状_Bachelier!$C$8,$C$3)</f>
        <v>5.5366638700520931E-13</v>
      </c>
      <c r="G15">
        <v>15</v>
      </c>
      <c r="H15" cm="1">
        <f t="array" ref="H15">BachelieroptionValue(C$4,各パラメータごとの形状_Bachelier!$C$5,各パラメータごとの形状_Bachelier!$C$6,$G15,各パラメータごとの形状_Bachelier!$C$8,$C$3)</f>
        <v>6.8979010029039314</v>
      </c>
      <c r="I15" cm="1">
        <f t="array" ref="I15">BachelieroptionValue(D$4,各パラメータごとの形状_Bachelier!$C$5,各パラメータごとの形状_Bachelier!$C$6,$G15,各パラメータごとの形状_Bachelier!$C$8,$C$3)</f>
        <v>5.8656404096318386</v>
      </c>
      <c r="J15" cm="1">
        <f t="array" ref="J15">BachelieroptionValue(E$4,各パラメータごとの形状_Bachelier!$C$5,各パラメータごとの形状_Bachelier!$C$6,$G15,各パラメータごとの形状_Bachelier!$C$8,$C$3)</f>
        <v>4.9375036562904207</v>
      </c>
      <c r="L15">
        <v>0.04</v>
      </c>
      <c r="M15" cm="1">
        <f t="array" ref="M15">BachelieroptionValue(C$4,各パラメータごとの形状_Bachelier!$C$5,各パラメータごとの形状_Bachelier!$L15,$C$7,各パラメータごとの形状_Bachelier!$C$8,$C$3)</f>
        <v>1.9215823108490673</v>
      </c>
      <c r="N15" cm="1">
        <f t="array" ref="N15">BachelieroptionValue(D$4,各パラメータごとの形状_Bachelier!$C$5,各パラメータごとの形状_Bachelier!$L15,$C$7,各パラメータごとの形状_Bachelier!$C$8,$C$3)</f>
        <v>0.19164976492052069</v>
      </c>
      <c r="O15" cm="1">
        <f t="array" ref="O15">BachelieroptionValue(E$4,各パラメータごとの形状_Bachelier!$C$5,各パラメータごとの形状_Bachelier!$L15,$C$7,各パラメータごとの形状_Bachelier!$C$8,$C$3)</f>
        <v>3.4325444209348562E-6</v>
      </c>
    </row>
    <row r="16" spans="2:15" x14ac:dyDescent="0.4">
      <c r="B16">
        <v>0.4</v>
      </c>
      <c r="C16" s="6" cm="1">
        <f t="array" ref="C16">BachelieroptionValue(C$4,各パラメータごとの形状_Bachelier!$C$5,各パラメータごとの形状_Bachelier!$C$6,$B16,各パラメータごとの形状_Bachelier!$C$8,$C$3)</f>
        <v>1.9603973675747279</v>
      </c>
      <c r="D16" s="6" cm="1">
        <f t="array" ref="D16">BachelieroptionValue(D$4,各パラメータごとの形状_Bachelier!$C$5,各パラメータごとの形状_Bachelier!$C$6,$B16,各パラメータごとの形状_Bachelier!$C$8,$C$3)</f>
        <v>0.15641707759018236</v>
      </c>
      <c r="E16" s="6" cm="1">
        <f t="array" ref="E16">BachelieroptionValue(E$4,各パラメータごとの形状_Bachelier!$C$5,各パラメータごとの形状_Bachelier!$C$6,$B16,各パラメータごとの形状_Bachelier!$C$8,$C$3)</f>
        <v>2.0961217454166068E-8</v>
      </c>
      <c r="G16">
        <v>20</v>
      </c>
      <c r="H16" cm="1">
        <f t="array" ref="H16">BachelieroptionValue(C$4,各パラメータごとの形状_Bachelier!$C$5,各パラメータごとの形状_Bachelier!$C$6,$G16,各パラメータごとの形状_Bachelier!$C$8,$C$3)</f>
        <v>8.8401242678800731</v>
      </c>
      <c r="I16" cm="1">
        <f t="array" ref="I16">BachelieroptionValue(D$4,各パラメータごとの形状_Bachelier!$C$5,各パラメータごとの形状_Bachelier!$C$6,$G16,各パラメータごとの形状_Bachelier!$C$8,$C$3)</f>
        <v>7.8208538795091176</v>
      </c>
      <c r="J16" cm="1">
        <f t="array" ref="J16">BachelieroptionValue(E$4,各パラメータごとの形状_Bachelier!$C$5,各パラメータごとの形状_Bachelier!$C$6,$G16,各パラメータごとの形状_Bachelier!$C$8,$C$3)</f>
        <v>6.8797269212665624</v>
      </c>
      <c r="L16">
        <v>0.05</v>
      </c>
      <c r="M16" cm="1">
        <f t="array" ref="M16">BachelieroptionValue(C$4,各パラメータごとの形状_Bachelier!$C$5,各パラメータごとの形状_Bachelier!$L16,$C$7,各パラメータごとの形状_Bachelier!$C$8,$C$3)</f>
        <v>1.9024622473914614</v>
      </c>
      <c r="N16" cm="1">
        <f t="array" ref="N16">BachelieroptionValue(D$4,各パラメータごとの形状_Bachelier!$C$5,各パラメータごとの形状_Bachelier!$L16,$C$7,各パラメータごとの形状_Bachelier!$C$8,$C$3)</f>
        <v>0.18974281789762865</v>
      </c>
      <c r="O16" cm="1">
        <f t="array" ref="O16">BachelieroptionValue(E$4,各パラメータごとの形状_Bachelier!$C$5,各パラメータごとの形状_Bachelier!$L16,$C$7,各パラメータごとの形状_Bachelier!$C$8,$C$3)</f>
        <v>3.3983900332831886E-6</v>
      </c>
    </row>
    <row r="17" spans="2:15" x14ac:dyDescent="0.4">
      <c r="B17">
        <v>0.5</v>
      </c>
      <c r="C17" s="6" cm="1">
        <f t="array" ref="C17">BachelieroptionValue(C$4,各パラメータごとの形状_Bachelier!$C$5,各パラメータごとの形状_Bachelier!$C$6,$B17,各パラメータごとの形状_Bachelier!$C$8,$C$3)</f>
        <v>1.9604008484999285</v>
      </c>
      <c r="D17" s="6" cm="1">
        <f t="array" ref="D17">BachelieroptionValue(D$4,各パラメータごとの形状_Bachelier!$C$5,各パラメータごとの形状_Bachelier!$C$6,$B17,各パラメータごとの形状_Bachelier!$C$8,$C$3)</f>
        <v>0.19552134698772794</v>
      </c>
      <c r="E17" s="6" cm="1">
        <f t="array" ref="E17">BachelieroptionValue(E$4,各パラメータごとの形状_Bachelier!$C$5,各パラメータごとの形状_Bachelier!$C$6,$B17,各パラメータごとの形状_Bachelier!$C$8,$C$3)</f>
        <v>3.5018864179391046E-6</v>
      </c>
      <c r="G17">
        <v>25</v>
      </c>
      <c r="H17" cm="1">
        <f t="array" ref="H17">BachelieroptionValue(C$4,各パラメータごとの形状_Bachelier!$C$5,各パラメータごとの形状_Bachelier!$C$6,$G17,各パラメータごとの形状_Bachelier!$C$8,$C$3)</f>
        <v>10.787532764394886</v>
      </c>
      <c r="I17" cm="1">
        <f t="array" ref="I17">BachelieroptionValue(D$4,各パラメータごとの形状_Bachelier!$C$5,各パラメータごとの形状_Bachelier!$C$6,$G17,各パラメータごとの形状_Bachelier!$C$8,$C$3)</f>
        <v>9.7760673493863965</v>
      </c>
      <c r="J17" cm="1">
        <f t="array" ref="J17">BachelieroptionValue(E$4,各パラメータごとの形状_Bachelier!$C$5,各パラメータごとの形状_Bachelier!$C$6,$G17,各パラメータごとの形状_Bachelier!$C$8,$C$3)</f>
        <v>8.8271354177813741</v>
      </c>
      <c r="L17">
        <v>0.06</v>
      </c>
      <c r="M17" cm="1">
        <f t="array" ref="M17">BachelieroptionValue(C$4,各パラメータごとの形状_Bachelier!$C$5,各パラメータごとの形状_Bachelier!$L17,$C$7,各パラメータごとの形状_Bachelier!$C$8,$C$3)</f>
        <v>1.883532431743985</v>
      </c>
      <c r="N17" cm="1">
        <f t="array" ref="N17">BachelieroptionValue(D$4,各パラメータごとの形状_Bachelier!$C$5,各パラメータごとの形状_Bachelier!$L17,$C$7,各パラメータごとの形状_Bachelier!$C$8,$C$3)</f>
        <v>0.18785484531464591</v>
      </c>
      <c r="O17" cm="1">
        <f t="array" ref="O17">BachelieroptionValue(E$4,各パラメータごとの形状_Bachelier!$C$5,各パラメータごとの形状_Bachelier!$L17,$C$7,各パラメータごとの形状_Bachelier!$C$8,$C$3)</f>
        <v>3.3645754874668507E-6</v>
      </c>
    </row>
    <row r="18" spans="2:15" x14ac:dyDescent="0.4">
      <c r="B18">
        <v>0.6</v>
      </c>
      <c r="C18" s="6" cm="1">
        <f t="array" ref="C18">BachelieroptionValue(C$4,各パラメータごとの形状_Bachelier!$C$5,各パラメータごとの形状_Bachelier!$C$6,$B18,各パラメータごとの形状_Bachelier!$C$8,$C$3)</f>
        <v>1.9604632617703945</v>
      </c>
      <c r="D18" s="6" cm="1">
        <f t="array" ref="D18">BachelieroptionValue(D$4,各パラメータごとの形状_Bachelier!$C$5,各パラメータごとの形状_Bachelier!$C$6,$B18,各パラメータごとの形状_Bachelier!$C$8,$C$3)</f>
        <v>0.23462561638527352</v>
      </c>
      <c r="E18" s="6" cm="1">
        <f t="array" ref="E18">BachelieroptionValue(E$4,各パラメータごとの形状_Bachelier!$C$5,各パラメータごとの形状_Bachelier!$C$6,$B18,各パラメータごとの形状_Bachelier!$C$8,$C$3)</f>
        <v>6.5915156883861189E-5</v>
      </c>
      <c r="G18">
        <v>30</v>
      </c>
      <c r="H18" cm="1">
        <f t="array" ref="H18">BachelieroptionValue(C$4,各パラメータごとの形状_Bachelier!$C$5,各パラメータごとの形状_Bachelier!$C$6,$G18,各パラメータごとの形状_Bachelier!$C$8,$C$3)</f>
        <v>12.737539354416544</v>
      </c>
      <c r="I18" cm="1">
        <f t="array" ref="I18">BachelieroptionValue(D$4,各パラメータごとの形状_Bachelier!$C$5,各パラメータごとの形状_Bachelier!$C$6,$G18,各パラメータごとの形状_Bachelier!$C$8,$C$3)</f>
        <v>11.731280819263677</v>
      </c>
      <c r="J18" cm="1">
        <f t="array" ref="J18">BachelieroptionValue(E$4,各パラメータごとの形状_Bachelier!$C$5,各パラメータごとの形状_Bachelier!$C$6,$G18,各パラメータごとの形状_Bachelier!$C$8,$C$3)</f>
        <v>10.777142007803034</v>
      </c>
      <c r="L18">
        <v>7.0000000000000007E-2</v>
      </c>
      <c r="M18" cm="1">
        <f t="array" ref="M18">BachelieroptionValue(C$4,各パラメータごとの形状_Bachelier!$C$5,各パラメータごとの形状_Bachelier!$L18,$C$7,各パラメータごとの形状_Bachelier!$C$8,$C$3)</f>
        <v>1.8647909709092985</v>
      </c>
      <c r="N18" cm="1">
        <f t="array" ref="N18">BachelieroptionValue(D$4,各パラメータごとの形状_Bachelier!$C$5,各パラメータごとの形状_Bachelier!$L18,$C$7,各パラメータごとの形状_Bachelier!$C$8,$C$3)</f>
        <v>0.18598565837274089</v>
      </c>
      <c r="O18" cm="1">
        <f t="array" ref="O18">BachelieroptionValue(E$4,各パラメータごとの形状_Bachelier!$C$5,各パラメータごとの形状_Bachelier!$L18,$C$7,各パラメータごとの形状_Bachelier!$C$8,$C$3)</f>
        <v>3.3310974020030818E-6</v>
      </c>
    </row>
    <row r="19" spans="2:15" x14ac:dyDescent="0.4">
      <c r="B19">
        <v>0.7</v>
      </c>
      <c r="C19" s="6" cm="1">
        <f t="array" ref="C19">BachelieroptionValue(C$4,各パラメータごとの形状_Bachelier!$C$5,各パラメータごとの形状_Bachelier!$C$6,$B19,各パラメータごとの形状_Bachelier!$C$8,$C$3)</f>
        <v>1.9608277868170856</v>
      </c>
      <c r="D19" s="6" cm="1">
        <f t="array" ref="D19">BachelieroptionValue(D$4,各パラメータごとの形状_Bachelier!$C$5,各パラメータごとの形状_Bachelier!$C$6,$B19,各パラメータごとの形状_Bachelier!$C$8,$C$3)</f>
        <v>0.27372988578281909</v>
      </c>
      <c r="E19" s="6" cm="1">
        <f t="array" ref="E19">BachelieroptionValue(E$4,各パラメータごとの形状_Bachelier!$C$5,各パラメータごとの形状_Bachelier!$C$6,$B19,各パラメータごとの形状_Bachelier!$C$8,$C$3)</f>
        <v>4.3044020357500774E-4</v>
      </c>
      <c r="G19">
        <v>35</v>
      </c>
      <c r="H19" cm="1">
        <f t="array" ref="H19">BachelieroptionValue(C$4,各パラメータごとの形状_Bachelier!$C$5,各パラメータごとの形状_Bachelier!$C$6,$G19,各パラメータごとの形状_Bachelier!$C$8,$C$3)</f>
        <v>14.68903218087828</v>
      </c>
      <c r="I19" cm="1">
        <f t="array" ref="I19">BachelieroptionValue(D$4,各パラメータごとの形状_Bachelier!$C$5,各パラメータごとの形状_Bachelier!$C$6,$G19,各パラメータごとの形状_Bachelier!$C$8,$C$3)</f>
        <v>13.686494289140956</v>
      </c>
      <c r="J19" cm="1">
        <f t="array" ref="J19">BachelieroptionValue(E$4,各パラメータごとの形状_Bachelier!$C$5,各パラメータごとの形状_Bachelier!$C$6,$G19,各パラメータごとの形状_Bachelier!$C$8,$C$3)</f>
        <v>12.728634834264771</v>
      </c>
      <c r="L19">
        <v>0.08</v>
      </c>
      <c r="M19" cm="1">
        <f t="array" ref="M19">BachelieroptionValue(C$4,各パラメータごとの形状_Bachelier!$C$5,各パラメータごとの形状_Bachelier!$L19,$C$7,各パラメータごとの形状_Bachelier!$C$8,$C$3)</f>
        <v>1.8462359907257007</v>
      </c>
      <c r="N19" cm="1">
        <f t="array" ref="N19">BachelieroptionValue(D$4,各パラメータごとの形状_Bachelier!$C$5,各パラメータごとの形状_Bachelier!$L19,$C$7,各パラメータごとの形状_Bachelier!$C$8,$C$3)</f>
        <v>0.18413507015166167</v>
      </c>
      <c r="O19" cm="1">
        <f t="array" ref="O19">BachelieroptionValue(E$4,各パラメータごとの形状_Bachelier!$C$5,各パラメータごとの形状_Bachelier!$L19,$C$7,各パラメータごとの形状_Bachelier!$C$8,$C$3)</f>
        <v>3.2979524290554363E-6</v>
      </c>
    </row>
    <row r="20" spans="2:15" x14ac:dyDescent="0.4">
      <c r="B20">
        <v>0.8</v>
      </c>
      <c r="C20" s="6" cm="1">
        <f t="array" ref="C20">BachelieroptionValue(C$4,各パラメータごとの形状_Bachelier!$C$5,各パラメータごとの形状_Bachelier!$C$6,$B20,各パラメータごとの形状_Bachelier!$C$8,$C$3)</f>
        <v>1.9619689086967955</v>
      </c>
      <c r="D20" s="6" cm="1">
        <f t="array" ref="D20">BachelieroptionValue(D$4,各パラメータごとの形状_Bachelier!$C$5,各パラメータごとの形状_Bachelier!$C$6,$B20,各パラメータごとの形状_Bachelier!$C$8,$C$3)</f>
        <v>0.31283415518036473</v>
      </c>
      <c r="E20" s="6" cm="1">
        <f t="array" ref="E20">BachelieroptionValue(E$4,各パラメータごとの形状_Bachelier!$C$5,各パラメータごとの形状_Bachelier!$C$6,$B20,各パラメータごとの形状_Bachelier!$C$8,$C$3)</f>
        <v>1.5715620832849704E-3</v>
      </c>
      <c r="G20">
        <v>40</v>
      </c>
      <c r="H20" cm="1">
        <f t="array" ref="H20">BachelieroptionValue(C$4,各パラメータごとの形状_Bachelier!$C$5,各パラメータごとの形状_Bachelier!$C$6,$G20,各パラメータごとの形状_Bachelier!$C$8,$C$3)</f>
        <v>16.641454494680481</v>
      </c>
      <c r="I20" cm="1">
        <f t="array" ref="I20">BachelieroptionValue(D$4,各パラメータごとの形状_Bachelier!$C$5,各パラメータごとの形状_Bachelier!$C$6,$G20,各パラメータごとの形状_Bachelier!$C$8,$C$3)</f>
        <v>15.641707759018235</v>
      </c>
      <c r="J20" cm="1">
        <f t="array" ref="J20">BachelieroptionValue(E$4,各パラメータごとの形状_Bachelier!$C$5,各パラメータごとの形状_Bachelier!$C$6,$G20,各パラメータごとの形状_Bachelier!$C$8,$C$3)</f>
        <v>14.681057148066971</v>
      </c>
      <c r="L20">
        <v>0.09</v>
      </c>
      <c r="M20" cm="1">
        <f t="array" ref="M20">BachelieroptionValue(C$4,各パラメータごとの形状_Bachelier!$C$5,各パラメータごとの形状_Bachelier!$L20,$C$7,各パラメータごとの形状_Bachelier!$C$8,$C$3)</f>
        <v>1.8278656356797105</v>
      </c>
      <c r="N20" cm="1">
        <f t="array" ref="N20">BachelieroptionValue(D$4,各パラメータごとの形状_Bachelier!$C$5,各パラメータごとの形状_Bachelier!$L20,$C$7,各パラメータごとの形状_Bachelier!$C$8,$C$3)</f>
        <v>0.18230289559104404</v>
      </c>
      <c r="O20" cm="1">
        <f t="array" ref="O20">BachelieroptionValue(E$4,各パラメータごとの形状_Bachelier!$C$5,各パラメータごとの形状_Bachelier!$L20,$C$7,各パラメータごとの形状_Bachelier!$C$8,$C$3)</f>
        <v>3.2651372540990001E-6</v>
      </c>
    </row>
    <row r="21" spans="2:15" x14ac:dyDescent="0.4">
      <c r="B21">
        <v>0.9</v>
      </c>
      <c r="C21" s="6" cm="1">
        <f t="array" ref="C21">BachelieroptionValue(C$4,各パラメータごとの形状_Bachelier!$C$5,各パラメータごとの形状_Bachelier!$C$6,$B21,各パラメータごとの形状_Bachelier!$C$8,$C$3)</f>
        <v>1.9644436013945452</v>
      </c>
      <c r="D21" s="6" cm="1">
        <f t="array" ref="D21">BachelieroptionValue(D$4,各パラメータごとの形状_Bachelier!$C$5,各パラメータごとの形状_Bachelier!$C$6,$B21,各パラメータごとの形状_Bachelier!$C$8,$C$3)</f>
        <v>0.3519384245779103</v>
      </c>
      <c r="E21" s="6" cm="1">
        <f t="array" ref="E21">BachelieroptionValue(E$4,各パラメータごとの形状_Bachelier!$C$5,各パラメータごとの形状_Bachelier!$C$6,$B21,各パラメータごとの形状_Bachelier!$C$8,$C$3)</f>
        <v>4.046254781034769E-3</v>
      </c>
      <c r="G21">
        <v>45</v>
      </c>
      <c r="H21" cm="1">
        <f t="array" ref="H21">BachelieroptionValue(C$4,各パラメータごとの形状_Bachelier!$C$5,各パラメータごとの形状_Bachelier!$C$6,$G21,各パラメータごとの形状_Bachelier!$C$8,$C$3)</f>
        <v>18.594496717203175</v>
      </c>
      <c r="I21" cm="1">
        <f t="array" ref="I21">BachelieroptionValue(D$4,各パラメータごとの形状_Bachelier!$C$5,各パラメータごとの形状_Bachelier!$C$6,$G21,各パラメータごとの形状_Bachelier!$C$8,$C$3)</f>
        <v>17.596921228895514</v>
      </c>
      <c r="J21" cm="1">
        <f t="array" ref="J21">BachelieroptionValue(E$4,各パラメータごとの形状_Bachelier!$C$5,各パラメータごとの形状_Bachelier!$C$6,$G21,各パラメータごとの形状_Bachelier!$C$8,$C$3)</f>
        <v>16.634099370589663</v>
      </c>
      <c r="L21">
        <v>0.1</v>
      </c>
      <c r="M21" cm="1">
        <f t="array" ref="M21">BachelieroptionValue(C$4,各パラメータごとの形状_Bachelier!$C$5,各パラメータごとの形状_Bachelier!$L21,$C$7,各パラメータごとの形状_Bachelier!$C$8,$C$3)</f>
        <v>1.8096780687205147</v>
      </c>
      <c r="N21" cm="1">
        <f t="array" ref="N21">BachelieroptionValue(D$4,各パラメータごとの形状_Bachelier!$C$5,各パラメータごとの形状_Bachelier!$L21,$C$7,各パラメータごとの形状_Bachelier!$C$8,$C$3)</f>
        <v>0.18048895147190508</v>
      </c>
      <c r="O21" cm="1">
        <f t="array" ref="O21">BachelieroptionValue(E$4,各パラメータごとの形状_Bachelier!$C$5,各パラメータごとの形状_Bachelier!$L21,$C$7,各パラメータごとの形状_Bachelier!$C$8,$C$3)</f>
        <v>3.2326485955889297E-6</v>
      </c>
    </row>
    <row r="22" spans="2:15" x14ac:dyDescent="0.4">
      <c r="B22">
        <v>1</v>
      </c>
      <c r="C22" s="6" cm="1">
        <f t="array" ref="C22">BachelieroptionValue(C$4,各パラメータごとの形状_Bachelier!$C$5,各パラメータごとの形状_Bachelier!$C$6,$B22,各パラメータごとの形状_Bachelier!$C$8,$C$3)</f>
        <v>1.9687199220539691</v>
      </c>
      <c r="D22" s="6" cm="1">
        <f t="array" ref="D22">BachelieroptionValue(D$4,各パラメータごとの形状_Bachelier!$C$5,各パラメータごとの形状_Bachelier!$C$6,$B22,各パラメータごとの形状_Bachelier!$C$8,$C$3)</f>
        <v>0.39104269397545588</v>
      </c>
      <c r="E22" s="6" cm="1">
        <f t="array" ref="E22">BachelieroptionValue(E$4,各パラメータごとの形状_Bachelier!$C$5,各パラメータごとの形状_Bachelier!$C$6,$B22,各パラメータごとの形状_Bachelier!$C$8,$C$3)</f>
        <v>8.3225754404586474E-3</v>
      </c>
      <c r="G22">
        <v>50</v>
      </c>
      <c r="H22" cm="1">
        <f t="array" ref="H22">BachelieroptionValue(C$4,各パラメータごとの形状_Bachelier!$C$5,各パラメータごとの形状_Bachelier!$C$6,$G22,各パラメータごとの形状_Bachelier!$C$8,$C$3)</f>
        <v>20.547972994611175</v>
      </c>
      <c r="I22" cm="1">
        <f t="array" ref="I22">BachelieroptionValue(D$4,各パラメータごとの形状_Bachelier!$C$5,各パラメータごとの形状_Bachelier!$C$6,$G22,各パラメータごとの形状_Bachelier!$C$8,$C$3)</f>
        <v>19.552134698772793</v>
      </c>
      <c r="J22" cm="1">
        <f t="array" ref="J22">BachelieroptionValue(E$4,各パラメータごとの形状_Bachelier!$C$5,各パラメータごとの形状_Bachelier!$C$6,$G22,各パラメータごとの形状_Bachelier!$C$8,$C$3)</f>
        <v>18.587575647997667</v>
      </c>
      <c r="L22">
        <v>0.11</v>
      </c>
      <c r="M22" cm="1">
        <f t="array" ref="M22">BachelieroptionValue(C$4,各パラメータごとの形状_Bachelier!$C$5,各パラメータごとの形状_Bachelier!$L22,$C$7,各パラメータごとの形状_Bachelier!$C$8,$C$3)</f>
        <v>1.7916714710762611</v>
      </c>
      <c r="N22" cm="1">
        <f t="array" ref="N22">BachelieroptionValue(D$4,各パラメータごとの形状_Bachelier!$C$5,各パラメータごとの形状_Bachelier!$L22,$C$7,各パラメータごとの形状_Bachelier!$C$8,$C$3)</f>
        <v>0.17869305639832128</v>
      </c>
      <c r="O22" cm="1">
        <f t="array" ref="O22">BachelieroptionValue(E$4,各パラメータごとの形状_Bachelier!$C$5,各パラメータごとの形状_Bachelier!$L22,$C$7,各パラメータごとの形状_Bachelier!$C$8,$C$3)</f>
        <v>3.2004832046323018E-6</v>
      </c>
    </row>
    <row r="23" spans="2:15" x14ac:dyDescent="0.4">
      <c r="B23">
        <v>1.1000000000000001</v>
      </c>
      <c r="C23" s="6" cm="1">
        <f t="array" ref="C23">BachelieroptionValue(C$4,各パラメータごとの形状_Bachelier!$C$5,各パラメータごとの形状_Bachelier!$C$6,$B23,各パラメータごとの形状_Bachelier!$C$8,$C$3)</f>
        <v>1.9750990865355194</v>
      </c>
      <c r="D23" s="6" cm="1">
        <f t="array" ref="D23">BachelieroptionValue(D$4,各パラメータごとの形状_Bachelier!$C$5,各パラメータごとの形状_Bachelier!$C$6,$B23,各パラメータごとの形状_Bachelier!$C$8,$C$3)</f>
        <v>0.43014696337300151</v>
      </c>
      <c r="E23" s="6" cm="1">
        <f t="array" ref="E23">BachelieroptionValue(E$4,各パラメータごとの形状_Bachelier!$C$5,各パラメータごとの形状_Bachelier!$C$6,$B23,各パラメータごとの形状_Bachelier!$C$8,$C$3)</f>
        <v>1.4701739922008747E-2</v>
      </c>
      <c r="G23">
        <v>55</v>
      </c>
      <c r="H23" cm="1">
        <f t="array" ref="H23">BachelieroptionValue(C$4,各パラメータごとの形状_Bachelier!$C$5,各パラメータごとの形状_Bachelier!$C$6,$G23,各パラメータごとの形状_Bachelier!$C$8,$C$3)</f>
        <v>22.501765009577504</v>
      </c>
      <c r="I23" cm="1">
        <f t="array" ref="I23">BachelieroptionValue(D$4,各パラメータごとの形状_Bachelier!$C$5,各パラメータごとの形状_Bachelier!$C$6,$G23,各パラメータごとの形状_Bachelier!$C$8,$C$3)</f>
        <v>21.507348168650072</v>
      </c>
      <c r="J23" cm="1">
        <f t="array" ref="J23">BachelieroptionValue(E$4,各パラメータごとの形状_Bachelier!$C$5,各パラメータごとの形状_Bachelier!$C$6,$G23,各パラメータごとの形状_Bachelier!$C$8,$C$3)</f>
        <v>20.541367662963996</v>
      </c>
      <c r="L23">
        <v>0.12</v>
      </c>
      <c r="M23" cm="1">
        <f t="array" ref="M23">BachelieroptionValue(C$4,各パラメータごとの形状_Bachelier!$C$5,各パラメータごとの形状_Bachelier!$L23,$C$7,各パラメータごとの形状_Bachelier!$C$8,$C$3)</f>
        <v>1.7738440420721797</v>
      </c>
      <c r="N23" cm="1">
        <f t="array" ref="N23">BachelieroptionValue(D$4,各パラメータごとの形状_Bachelier!$C$5,各パラメータごとの形状_Bachelier!$L23,$C$7,各パラメータごとの形状_Bachelier!$C$8,$C$3)</f>
        <v>0.17691503077928869</v>
      </c>
      <c r="O23" cm="1">
        <f t="array" ref="O23">BachelieroptionValue(E$4,各パラメータごとの形状_Bachelier!$C$5,各パラメータごとの形状_Bachelier!$L23,$C$7,各パラメータごとの形状_Bachelier!$C$8,$C$3)</f>
        <v>3.1686378646632147E-6</v>
      </c>
    </row>
    <row r="24" spans="2:15" x14ac:dyDescent="0.4">
      <c r="B24">
        <v>1.2</v>
      </c>
      <c r="C24" s="6" cm="1">
        <f t="array" ref="C24">BachelieroptionValue(C$4,各パラメータごとの形状_Bachelier!$C$5,各パラメータごとの形状_Bachelier!$C$6,$B24,各パラメータごとの形状_Bachelier!$C$8,$C$3)</f>
        <v>1.9837180981869647</v>
      </c>
      <c r="D24" s="6" cm="1">
        <f t="array" ref="D24">BachelieroptionValue(D$4,各パラメータごとの形状_Bachelier!$C$5,各パラメータごとの形状_Bachelier!$C$6,$B24,各パラメータごとの形状_Bachelier!$C$8,$C$3)</f>
        <v>0.46925123277054703</v>
      </c>
      <c r="E24" s="6" cm="1">
        <f t="array" ref="E24">BachelieroptionValue(E$4,各パラメータごとの形状_Bachelier!$C$5,各パラメータごとの形状_Bachelier!$C$6,$B24,各パラメータごとの形状_Bachelier!$C$8,$C$3)</f>
        <v>2.3320751573454156E-2</v>
      </c>
      <c r="G24">
        <v>60</v>
      </c>
      <c r="H24" cm="1">
        <f t="array" ref="H24">BachelieroptionValue(C$4,各パラメータごとの形状_Bachelier!$C$5,各パラメータごとの形状_Bachelier!$C$6,$G24,各パラメータごとの形状_Bachelier!$C$8,$C$3)</f>
        <v>24.455793861512152</v>
      </c>
      <c r="I24" cm="1">
        <f t="array" ref="I24">BachelieroptionValue(D$4,各パラメータごとの形状_Bachelier!$C$5,各パラメータごとの形状_Bachelier!$C$6,$G24,各パラメータごとの形状_Bachelier!$C$8,$C$3)</f>
        <v>23.462561638527355</v>
      </c>
      <c r="J24" cm="1">
        <f t="array" ref="J24">BachelieroptionValue(E$4,各パラメータごとの形状_Bachelier!$C$5,各パラメータごとの形状_Bachelier!$C$6,$G24,各パラメータごとの形状_Bachelier!$C$8,$C$3)</f>
        <v>22.495396514898641</v>
      </c>
      <c r="L24">
        <v>0.13</v>
      </c>
      <c r="M24" cm="1">
        <f t="array" ref="M24">BachelieroptionValue(C$4,各パラメータごとの形状_Bachelier!$C$5,各パラメータごとの形状_Bachelier!$L24,$C$7,各パラメータごとの形状_Bachelier!$C$8,$C$3)</f>
        <v>1.7561939989505138</v>
      </c>
      <c r="N24" cm="1">
        <f t="array" ref="N24">BachelieroptionValue(D$4,各パラメータごとの形状_Bachelier!$C$5,各パラメータごとの形状_Bachelier!$L24,$C$7,各パラメータごとの形状_Bachelier!$C$8,$C$3)</f>
        <v>0.17515469681076373</v>
      </c>
      <c r="O24" cm="1">
        <f t="array" ref="O24">BachelieroptionValue(E$4,各パラメータごとの形状_Bachelier!$C$5,各パラメータごとの形状_Bachelier!$L24,$C$7,各パラメータごとの形状_Bachelier!$C$8,$C$3)</f>
        <v>3.1371093911211349E-6</v>
      </c>
    </row>
    <row r="25" spans="2:15" x14ac:dyDescent="0.4">
      <c r="B25">
        <v>1.3</v>
      </c>
      <c r="C25" s="6" cm="1">
        <f t="array" ref="C25">BachelieroptionValue(C$4,各パラメータごとの形状_Bachelier!$C$5,各パラメータごとの形状_Bachelier!$C$6,$B25,各パラメータごとの形状_Bachelier!$C$8,$C$3)</f>
        <v>1.9945872961872071</v>
      </c>
      <c r="D25" s="6" cm="1">
        <f t="array" ref="D25">BachelieroptionValue(D$4,各パラメータごとの形状_Bachelier!$C$5,各パラメータごとの形状_Bachelier!$C$6,$B25,各パラメータごとの形状_Bachelier!$C$8,$C$3)</f>
        <v>0.50835550216809267</v>
      </c>
      <c r="E25" s="6" cm="1">
        <f t="array" ref="E25">BachelieroptionValue(E$4,各パラメータごとの形状_Bachelier!$C$5,各パラメータごとの形状_Bachelier!$C$6,$B25,各パラメータごとの形状_Bachelier!$C$8,$C$3)</f>
        <v>3.4189949573696483E-2</v>
      </c>
      <c r="G25">
        <v>65</v>
      </c>
      <c r="H25" cm="1">
        <f t="array" ref="H25">BachelieroptionValue(C$4,各パラメータごとの形状_Bachelier!$C$5,各パラメータごとの形状_Bachelier!$C$6,$G25,各パラメータごとの形状_Bachelier!$C$8,$C$3)</f>
        <v>26.410004915416049</v>
      </c>
      <c r="I25" cm="1">
        <f t="array" ref="I25">BachelieroptionValue(D$4,各パラメータごとの形状_Bachelier!$C$5,各パラメータごとの形状_Bachelier!$C$6,$G25,各パラメータごとの形状_Bachelier!$C$8,$C$3)</f>
        <v>25.417775108404633</v>
      </c>
      <c r="J25" cm="1">
        <f t="array" ref="J25">BachelieroptionValue(E$4,各パラメータごとの形状_Bachelier!$C$5,各パラメータごとの形状_Bachelier!$C$6,$G25,各パラメータごとの形状_Bachelier!$C$8,$C$3)</f>
        <v>24.449607568802538</v>
      </c>
      <c r="L25">
        <v>0.14000000000000001</v>
      </c>
      <c r="M25" cm="1">
        <f t="array" ref="M25">BachelieroptionValue(C$4,各パラメータごとの形状_Bachelier!$C$5,各パラメータごとの形状_Bachelier!$L25,$C$7,各パラメータごとの形状_Bachelier!$C$8,$C$3)</f>
        <v>1.7387195766922428</v>
      </c>
      <c r="N25" cm="1">
        <f t="array" ref="N25">BachelieroptionValue(D$4,各パラメータごとの形状_Bachelier!$C$5,各パラメータごとの形状_Bachelier!$L25,$C$7,各パラメータごとの形状_Bachelier!$C$8,$C$3)</f>
        <v>0.17341187845788258</v>
      </c>
      <c r="O25" cm="1">
        <f t="array" ref="O25">BachelieroptionValue(E$4,各パラメータごとの形状_Bachelier!$C$5,各パラメータごとの形状_Bachelier!$L25,$C$7,各パラメータごとの形状_Bachelier!$C$8,$C$3)</f>
        <v>3.1058946311324335E-6</v>
      </c>
    </row>
    <row r="26" spans="2:15" x14ac:dyDescent="0.4">
      <c r="B26">
        <v>1.4</v>
      </c>
      <c r="C26" s="6" cm="1">
        <f t="array" ref="C26">BachelieroptionValue(C$4,各パラメータごとの形状_Bachelier!$C$5,各パラメータごとの形状_Bachelier!$C$6,$B26,各パラメータごとの形状_Bachelier!$C$8,$C$3)</f>
        <v>2.0076326862842881</v>
      </c>
      <c r="D26" s="6" cm="1">
        <f t="array" ref="D26">BachelieroptionValue(D$4,各パラメータごとの形状_Bachelier!$C$5,各パラメータごとの形状_Bachelier!$C$6,$B26,各パラメータごとの形状_Bachelier!$C$8,$C$3)</f>
        <v>0.54745977156563819</v>
      </c>
      <c r="E26" s="6" cm="1">
        <f t="array" ref="E26">BachelieroptionValue(E$4,各パラメータごとの形状_Bachelier!$C$5,各パラメータごとの形状_Bachelier!$C$6,$B26,各パラメータごとの形状_Bachelier!$C$8,$C$3)</f>
        <v>4.7235339670777358E-2</v>
      </c>
      <c r="G26">
        <v>70</v>
      </c>
      <c r="H26" cm="1">
        <f t="array" ref="H26">BachelieroptionValue(C$4,各パラメータごとの形状_Bachelier!$C$5,各パラメータごとの形状_Bachelier!$C$6,$G26,各パラメータごとの形状_Bachelier!$C$8,$C$3)</f>
        <v>28.364359140005895</v>
      </c>
      <c r="I26" cm="1">
        <f t="array" ref="I26">BachelieroptionValue(D$4,各パラメータごとの形状_Bachelier!$C$5,各パラメータごとの形状_Bachelier!$C$6,$G26,各パラメータごとの形状_Bachelier!$C$8,$C$3)</f>
        <v>27.372988578281912</v>
      </c>
      <c r="J26" cm="1">
        <f t="array" ref="J26">BachelieroptionValue(E$4,各パラメータごとの形状_Bachelier!$C$5,各パラメータごとの形状_Bachelier!$C$6,$G26,各パラメータごとの形状_Bachelier!$C$8,$C$3)</f>
        <v>26.403961793392387</v>
      </c>
      <c r="L26">
        <v>0.15</v>
      </c>
      <c r="M26" cm="1">
        <f t="array" ref="M26">BachelieroptionValue(C$4,各パラメータごとの形状_Bachelier!$C$5,各パラメータごとの形状_Bachelier!$L26,$C$7,各パラメータごとの形状_Bachelier!$C$8,$C$3)</f>
        <v>1.7214190278405788</v>
      </c>
      <c r="N26" cm="1">
        <f t="array" ref="N26">BachelieroptionValue(D$4,各パラメータごとの形状_Bachelier!$C$5,各パラメータごとの形状_Bachelier!$L26,$C$7,各パラメータごとの形状_Bachelier!$C$8,$C$3)</f>
        <v>0.17168640143735758</v>
      </c>
      <c r="O26" cm="1">
        <f t="array" ref="O26">BachelieroptionValue(E$4,各パラメータごとの形状_Bachelier!$C$5,各パラメータごとの形状_Bachelier!$L26,$C$7,各パラメータごとの形状_Bachelier!$C$8,$C$3)</f>
        <v>3.0749904631950992E-6</v>
      </c>
    </row>
    <row r="27" spans="2:15" x14ac:dyDescent="0.4">
      <c r="B27">
        <v>1.5</v>
      </c>
      <c r="C27" s="6" cm="1">
        <f t="array" ref="C27">BachelieroptionValue(C$4,各パラメータごとの形状_Bachelier!$C$5,各パラメータごとの形状_Bachelier!$C$6,$B27,各パラメータごとの形状_Bachelier!$C$8,$C$3)</f>
        <v>2.0227307998910633</v>
      </c>
      <c r="D27" s="6" cm="1">
        <f t="array" ref="D27">BachelieroptionValue(D$4,各パラメータごとの形状_Bachelier!$C$5,各パラメータごとの形状_Bachelier!$C$6,$B27,各パラメータごとの形状_Bachelier!$C$8,$C$3)</f>
        <v>0.58656404096318382</v>
      </c>
      <c r="E27" s="6" cm="1">
        <f t="array" ref="E27">BachelieroptionValue(E$4,各パラメータごとの形状_Bachelier!$C$5,各パラメータごとの形状_Bachelier!$C$6,$B27,各パラメータごとの形状_Bachelier!$C$8,$C$3)</f>
        <v>6.2333453277552943E-2</v>
      </c>
      <c r="G27">
        <v>75</v>
      </c>
      <c r="H27" cm="1">
        <f t="array" ref="H27">BachelieroptionValue(C$4,各パラメータごとの形状_Bachelier!$C$5,各パラメータごとの形状_Bachelier!$C$6,$G27,各パラメータごとの形状_Bachelier!$C$8,$C$3)</f>
        <v>30.318827908738552</v>
      </c>
      <c r="I27" cm="1">
        <f t="array" ref="I27">BachelieroptionValue(D$4,各パラメータごとの形状_Bachelier!$C$5,各パラメータごとの形状_Bachelier!$C$6,$G27,各パラメータごとの形状_Bachelier!$C$8,$C$3)</f>
        <v>29.328202048159191</v>
      </c>
      <c r="J27" cm="1">
        <f t="array" ref="J27">BachelieroptionValue(E$4,各パラメータごとの形状_Bachelier!$C$5,各パラメータごとの形状_Bachelier!$C$6,$G27,各パラメータごとの形状_Bachelier!$C$8,$C$3)</f>
        <v>28.358430562125044</v>
      </c>
      <c r="L27">
        <v>0.16</v>
      </c>
      <c r="M27" cm="1">
        <f t="array" ref="M27">BachelieroptionValue(C$4,各パラメータごとの形状_Bachelier!$C$5,各パラメータごとの形状_Bachelier!$L27,$C$7,各パラメータごとの形状_Bachelier!$C$8,$C$3)</f>
        <v>1.7042906223262195</v>
      </c>
      <c r="N27" cm="1">
        <f t="array" ref="N27">BachelieroptionValue(D$4,各パラメータごとの形状_Bachelier!$C$5,各パラメータごとの形状_Bachelier!$L27,$C$7,各パラメータごとの形状_Bachelier!$C$8,$C$3)</f>
        <v>0.16997809320004878</v>
      </c>
      <c r="O27" cm="1">
        <f t="array" ref="O27">BachelieroptionValue(E$4,各パラメータごとの形状_Bachelier!$C$5,各パラメータごとの形状_Bachelier!$L27,$C$7,各パラメータごとの形状_Bachelier!$C$8,$C$3)</f>
        <v>3.0443937968665854E-6</v>
      </c>
    </row>
    <row r="28" spans="2:15" x14ac:dyDescent="0.4">
      <c r="B28">
        <v>1.6</v>
      </c>
      <c r="C28" s="6" cm="1">
        <f t="array" ref="C28">BachelieroptionValue(C$4,各パラメータごとの形状_Bachelier!$C$5,各パラメータごとの形状_Bachelier!$C$6,$B28,各パラメータごとの形状_Bachelier!$C$8,$C$3)</f>
        <v>2.039733636533108</v>
      </c>
      <c r="D28" s="6" cm="1">
        <f t="array" ref="D28">BachelieroptionValue(D$4,各パラメータごとの形状_Bachelier!$C$5,各パラメータごとの形状_Bachelier!$C$6,$B28,各パラメータごとの形状_Bachelier!$C$8,$C$3)</f>
        <v>0.62566831036072945</v>
      </c>
      <c r="E28" s="6" cm="1">
        <f t="array" ref="E28">BachelieroptionValue(E$4,各パラメータごとの形状_Bachelier!$C$5,各パラメータごとの形状_Bachelier!$C$6,$B28,各パラメータごとの形状_Bachelier!$C$8,$C$3)</f>
        <v>7.93362899195975E-2</v>
      </c>
      <c r="G28">
        <v>80</v>
      </c>
      <c r="H28" cm="1">
        <f t="array" ref="H28">BachelieroptionValue(C$4,各パラメータごとの形状_Bachelier!$C$5,各パラメータごとの形状_Bachelier!$C$6,$G28,各パラメータごとの形状_Bachelier!$C$8,$C$3)</f>
        <v>32.273389749554255</v>
      </c>
      <c r="I28" cm="1">
        <f t="array" ref="I28">BachelieroptionValue(D$4,各パラメータごとの形状_Bachelier!$C$5,各パラメータごとの形状_Bachelier!$C$6,$G28,各パラメータごとの形状_Bachelier!$C$8,$C$3)</f>
        <v>31.28341551803647</v>
      </c>
      <c r="J28" cm="1">
        <f t="array" ref="J28">BachelieroptionValue(E$4,各パラメータごとの形状_Bachelier!$C$5,各パラメータごとの形状_Bachelier!$C$6,$G28,各パラメータごとの形状_Bachelier!$C$8,$C$3)</f>
        <v>30.312992402940747</v>
      </c>
      <c r="L28">
        <v>0.17</v>
      </c>
      <c r="M28" cm="1">
        <f t="array" ref="M28">BachelieroptionValue(C$4,各パラメータごとの形状_Bachelier!$C$5,各パラメータごとの形状_Bachelier!$L28,$C$7,各パラメータごとの形状_Bachelier!$C$8,$C$3)</f>
        <v>1.68733264729434</v>
      </c>
      <c r="N28" cm="1">
        <f t="array" ref="N28">BachelieroptionValue(D$4,各パラメータごとの形状_Bachelier!$C$5,各パラメータごとの形状_Bachelier!$L28,$C$7,各パラメータごとの形状_Bachelier!$C$8,$C$3)</f>
        <v>0.16828678291370891</v>
      </c>
      <c r="O28" cm="1">
        <f t="array" ref="O28">BachelieroptionValue(E$4,各パラメータごとの形状_Bachelier!$C$5,各パラメータごとの形状_Bachelier!$L28,$C$7,各パラメータごとの形状_Bachelier!$C$8,$C$3)</f>
        <v>3.0141015724547613E-6</v>
      </c>
    </row>
    <row r="30" spans="2:15" x14ac:dyDescent="0.4">
      <c r="B30" t="s">
        <v>15</v>
      </c>
      <c r="C30" t="s">
        <v>4</v>
      </c>
      <c r="D30" t="s">
        <v>16</v>
      </c>
      <c r="E30" t="s">
        <v>24</v>
      </c>
      <c r="F30" t="s">
        <v>26</v>
      </c>
      <c r="G30" t="s">
        <v>25</v>
      </c>
      <c r="J30" t="s">
        <v>15</v>
      </c>
      <c r="K30" t="s">
        <v>4</v>
      </c>
      <c r="L30" t="s">
        <v>16</v>
      </c>
      <c r="M30" t="s">
        <v>24</v>
      </c>
      <c r="N30" t="s">
        <v>26</v>
      </c>
      <c r="O30" t="s">
        <v>25</v>
      </c>
    </row>
    <row r="31" spans="2:15" x14ac:dyDescent="0.4">
      <c r="B31">
        <v>1</v>
      </c>
      <c r="C31">
        <v>1</v>
      </c>
      <c r="D31">
        <f>+$B$31-C31</f>
        <v>0</v>
      </c>
      <c r="E31" s="6" cm="1">
        <f t="array" ref="E31">BachelieroptionValue(C$4,各パラメータごとの形状_Bachelier!$C$5,各パラメータごとの形状_Bachelier!$C$6,$C$7,各パラメータごとの形状_Bachelier!$C31,$C$3)</f>
        <v>1.9604008484999285</v>
      </c>
      <c r="F31" s="6" cm="1">
        <f t="array" ref="F31">BachelieroptionValue(D$4,各パラメータごとの形状_Bachelier!$C$5,各パラメータごとの形状_Bachelier!$C$6,$C$7,各パラメータごとの形状_Bachelier!$C31,$C$3)</f>
        <v>0.19552134698772794</v>
      </c>
      <c r="G31" s="6" cm="1">
        <f t="array" ref="G31">BachelieroptionValue(E$4,各パラメータごとの形状_Bachelier!$C$5,各パラメータごとの形状_Bachelier!$C$6,$C$7,各パラメータごとの形状_Bachelier!$C31,$C$3)</f>
        <v>3.5018864179391046E-6</v>
      </c>
      <c r="J31">
        <v>10</v>
      </c>
      <c r="K31">
        <f>J31</f>
        <v>10</v>
      </c>
      <c r="L31">
        <f>+$J$31-K31</f>
        <v>0</v>
      </c>
      <c r="M31" s="6" cm="1">
        <f t="array" ref="M31">BachelieroptionValue(C$4,各パラメータごとの形状_Bachelier!$C$5,各パラメータごとの形状_Bachelier!$C$6,$C$7,各パラメータごとの形状_Bachelier!$K31,$C$3)</f>
        <v>1.7009343609226901</v>
      </c>
      <c r="N31" s="6" cm="1">
        <f t="array" ref="N31">BachelieroptionValue(D$4,各パラメータごとの形状_Bachelier!$C$5,各パラメータごとの形状_Bachelier!$C$6,$C$7,各パラメータごとの形状_Bachelier!$K31,$C$3)</f>
        <v>0.51644154746727833</v>
      </c>
      <c r="O31" s="6" cm="1">
        <f t="array" ref="O31">BachelieroptionValue(E$4,各パラメータごとの形状_Bachelier!$C$5,各パラメータごとの形状_Bachelier!$C$6,$C$7,各パラメータごとの形状_Bachelier!$K31,$C$3)</f>
        <v>6.3472854766726441E-2</v>
      </c>
    </row>
    <row r="32" spans="2:15" x14ac:dyDescent="0.4">
      <c r="C32">
        <f>C31-1/12</f>
        <v>0.91666666666666663</v>
      </c>
      <c r="D32">
        <f t="shared" ref="D32:D43" si="0">+$B$31-C32</f>
        <v>8.333333333333337E-2</v>
      </c>
      <c r="E32" s="6" cm="1">
        <f t="array" ref="E32">BachelieroptionValue(C$4,各パラメータごとの形状_Bachelier!$C$5,各パラメータごとの形状_Bachelier!$C$6,$C$7,各パラメータごとの形状_Bachelier!$C32,$C$3)</f>
        <v>1.9636689044521789</v>
      </c>
      <c r="F32" s="6" cm="1">
        <f t="array" ref="F32">BachelieroptionValue(D$4,各パラメータごとの形状_Bachelier!$C$5,各パラメータごとの形状_Bachelier!$C$6,$C$7,各パラメータごとの形状_Bachelier!$C32,$C$3)</f>
        <v>0.18750969362161291</v>
      </c>
      <c r="G32" s="6" cm="1">
        <f t="array" ref="G32">BachelieroptionValue(E$4,各パラメータごとの形状_Bachelier!$C$5,各パラメータごとの形状_Bachelier!$C$6,$C$7,各パラメータごとの形状_Bachelier!$C32,$C$3)</f>
        <v>1.5046402706020771E-6</v>
      </c>
      <c r="K32">
        <f>K31-1</f>
        <v>9</v>
      </c>
      <c r="L32">
        <f t="shared" ref="L32:L41" si="1">+$J$31-K32</f>
        <v>1</v>
      </c>
      <c r="M32" s="6" cm="1">
        <f t="array" ref="M32">BachelieroptionValue(C$4,各パラメータごとの形状_Bachelier!$C$5,各パラメータごとの形状_Bachelier!$C$6,$C$7,各パラメータごとの形状_Bachelier!$K32,$C$3)</f>
        <v>1.7236574878778264</v>
      </c>
      <c r="N32" s="6" cm="1">
        <f t="array" ref="N32">BachelieroptionValue(D$4,各パラメータごとの形状_Bachelier!$C$5,各パラメータごとの形状_Bachelier!$C$6,$C$7,各パラメータごとの形状_Bachelier!$K32,$C$3)</f>
        <v>0.49983690433769945</v>
      </c>
      <c r="O32" s="6" cm="1">
        <f t="array" ref="O32">BachelieroptionValue(E$4,各パラメータごとの形状_Bachelier!$C$5,各パラメータごとの形状_Bachelier!$C$6,$C$7,各パラメータごとの形状_Bachelier!$K32,$C$3)</f>
        <v>5.311706505528227E-2</v>
      </c>
    </row>
    <row r="33" spans="2:15" x14ac:dyDescent="0.4">
      <c r="C33">
        <f>+C32-1/12</f>
        <v>0.83333333333333326</v>
      </c>
      <c r="D33">
        <f t="shared" si="0"/>
        <v>0.16666666666666674</v>
      </c>
      <c r="E33" s="6" cm="1">
        <f t="array" ref="E33">BachelieroptionValue(C$4,各パラメータごとの形状_Bachelier!$C$5,各パラメータごとの形状_Bachelier!$C$6,$C$7,各パラメータごとの形状_Bachelier!$C33,$C$3)</f>
        <v>1.9669434598444544</v>
      </c>
      <c r="F33" s="6" cm="1">
        <f t="array" ref="F33">BachelieroptionValue(D$4,各パラメータごとの形状_Bachelier!$C$5,各パラメータごとの形状_Bachelier!$C$6,$C$7,各パラメータごとの形状_Bachelier!$C33,$C$3)</f>
        <v>0.17908169890081976</v>
      </c>
      <c r="G33" s="6" cm="1">
        <f t="array" ref="G33">BachelieroptionValue(E$4,各パラメータごとの形状_Bachelier!$C$5,各パラメータごとの形状_Bachelier!$C$6,$C$7,各パラメータごとの形状_Bachelier!$C33,$C$3)</f>
        <v>5.522012194293708E-7</v>
      </c>
      <c r="K33">
        <f t="shared" ref="K33:K41" si="2">K32-1</f>
        <v>8</v>
      </c>
      <c r="L33">
        <f t="shared" si="1"/>
        <v>2</v>
      </c>
      <c r="M33" s="6" cm="1">
        <f t="array" ref="M33">BachelieroptionValue(C$4,各パラメータごとの形状_Bachelier!$C$5,各パラメータごとの形状_Bachelier!$C$6,$C$7,各パラメータごとの形状_Bachelier!$K33,$C$3)</f>
        <v>1.7471116734753458</v>
      </c>
      <c r="N33" s="6" cm="1">
        <f t="array" ref="N33">BachelieroptionValue(D$4,各パラメータごとの形状_Bachelier!$C$5,各パラメータごとの形状_Bachelier!$C$6,$C$7,各パラメータごとの形状_Bachelier!$K33,$C$3)</f>
        <v>0.48077064941965397</v>
      </c>
      <c r="O33" s="6" cm="1">
        <f t="array" ref="O33">BachelieroptionValue(E$4,各パラメータごとの形状_Bachelier!$C$5,各パラメータごとの形状_Bachelier!$C$6,$C$7,各パラメータごとの形状_Bachelier!$K33,$C$3)</f>
        <v>4.2824095542923171E-2</v>
      </c>
    </row>
    <row r="34" spans="2:15" x14ac:dyDescent="0.4">
      <c r="C34">
        <f t="shared" ref="C34:C42" si="3">+C33-1/12</f>
        <v>0.74999999999999989</v>
      </c>
      <c r="D34">
        <f t="shared" si="0"/>
        <v>0.25000000000000011</v>
      </c>
      <c r="E34" s="6" cm="1">
        <f t="array" ref="E34">BachelieroptionValue(C$4,各パラメータごとの形状_Bachelier!$C$5,各パラメータごとの形状_Bachelier!$C$6,$C$7,各パラメータごとの形状_Bachelier!$C34,$C$3)</f>
        <v>1.9702240436829763</v>
      </c>
      <c r="F34" s="6" cm="1">
        <f t="array" ref="F34">BachelieroptionValue(D$4,各パラメータごとの形状_Bachelier!$C$5,各パラメータごとの形状_Bachelier!$C$6,$C$7,各パラメータごとの形状_Bachelier!$C34,$C$3)</f>
        <v>0.17017520585360887</v>
      </c>
      <c r="G34" s="6" cm="1">
        <f t="array" ref="G34">BachelieroptionValue(E$4,各パラメータごとの形状_Bachelier!$C$5,各パラメータごとの形状_Bachelier!$C$6,$C$7,各パラメータごとの形状_Bachelier!$C34,$C$3)</f>
        <v>1.644768509554482E-7</v>
      </c>
      <c r="K34">
        <f t="shared" si="2"/>
        <v>7</v>
      </c>
      <c r="L34">
        <f t="shared" si="1"/>
        <v>3</v>
      </c>
      <c r="M34" s="6" cm="1">
        <f t="array" ref="M34">BachelieroptionValue(C$4,各パラメータごとの形状_Bachelier!$C$5,各パラメータごとの形状_Bachelier!$C$6,$C$7,各パラメータごとの形状_Bachelier!$K34,$C$3)</f>
        <v>1.7715201791392685</v>
      </c>
      <c r="N34" s="6" cm="1">
        <f t="array" ref="N34">BachelieroptionValue(D$4,各パラメータごとの形状_Bachelier!$C$5,各パラメータごとの形状_Bachelier!$C$6,$C$7,各パラメータごとの形状_Bachelier!$K34,$C$3)</f>
        <v>0.45880470478411628</v>
      </c>
      <c r="O34" s="6" cm="1">
        <f t="array" ref="O34">BachelieroptionValue(E$4,各パラメータごとの形状_Bachelier!$C$5,各パラメータごとの形状_Bachelier!$C$6,$C$7,各パラメータごとの形状_Bachelier!$K34,$C$3)</f>
        <v>3.2803708341656627E-2</v>
      </c>
    </row>
    <row r="35" spans="2:15" x14ac:dyDescent="0.4">
      <c r="C35">
        <f t="shared" si="3"/>
        <v>0.66666666666666652</v>
      </c>
      <c r="D35">
        <f t="shared" si="0"/>
        <v>0.33333333333333348</v>
      </c>
      <c r="E35" s="6" cm="1">
        <f t="array" ref="E35">BachelieroptionValue(C$4,各パラメータごとの形状_Bachelier!$C$5,各パラメータごとの形状_Bachelier!$C$6,$C$7,各パラメータごとの形状_Bachelier!$C35,$C$3)</f>
        <v>1.9735103604554096</v>
      </c>
      <c r="F35" s="6" cm="1">
        <f t="array" ref="F35">BachelieroptionValue(D$4,各パラメータごとの形状_Bachelier!$C$5,各パラメータごとの形状_Bachelier!$C$6,$C$7,各パラメータごとの形状_Bachelier!$C35,$C$3)</f>
        <v>0.16071035023072267</v>
      </c>
      <c r="G35" s="6" cm="1">
        <f t="array" ref="G35">BachelieroptionValue(E$4,各パラメータごとの形状_Bachelier!$C$5,各パラメータごとの形状_Bachelier!$C$6,$C$7,各パラメータごとの形状_Bachelier!$C35,$C$3)</f>
        <v>3.6841018253599856E-8</v>
      </c>
      <c r="K35">
        <f t="shared" si="2"/>
        <v>6</v>
      </c>
      <c r="L35">
        <f t="shared" si="1"/>
        <v>4</v>
      </c>
      <c r="M35" s="6" cm="1">
        <f t="array" ref="M35">BachelieroptionValue(C$4,各パラメータごとの形状_Bachelier!$C$5,各パラメータごとの形状_Bachelier!$C$6,$C$7,各パラメータごとの形状_Bachelier!$K35,$C$3)</f>
        <v>1.7971879798294608</v>
      </c>
      <c r="N35" s="6" cm="1">
        <f t="array" ref="N35">BachelieroptionValue(D$4,各パラメータごとの形状_Bachelier!$C$5,各パラメータごとの形状_Bachelier!$C$6,$C$7,各パラメータごとの形状_Bachelier!$K35,$C$3)</f>
        <v>0.43335155323803787</v>
      </c>
      <c r="O35" s="6" cm="1">
        <f t="array" ref="O35">BachelieroptionValue(E$4,各パラメータごとの形状_Bachelier!$C$5,各パラメータごとの形状_Bachelier!$C$6,$C$7,各パラメータごとの形状_Bachelier!$K35,$C$3)</f>
        <v>2.334710639514577E-2</v>
      </c>
    </row>
    <row r="36" spans="2:15" x14ac:dyDescent="0.4">
      <c r="C36">
        <f t="shared" si="3"/>
        <v>0.58333333333333315</v>
      </c>
      <c r="D36">
        <f t="shared" si="0"/>
        <v>0.41666666666666685</v>
      </c>
      <c r="E36" s="6" cm="1">
        <f t="array" ref="E36">BachelieroptionValue(C$4,各パラメータごとの形状_Bachelier!$C$5,各パラメータごとの形状_Bachelier!$C$6,$C$7,各パラメータごとの形状_Bachelier!$C36,$C$3)</f>
        <v>1.9768022555049405</v>
      </c>
      <c r="F36" s="6" cm="1">
        <f t="array" ref="F36">BachelieroptionValue(D$4,各パラメータごとの形状_Bachelier!$C$5,各パラメータごとの形状_Bachelier!$C$6,$C$7,各パラメータごとの形状_Bachelier!$C36,$C$3)</f>
        <v>0.15058152745550921</v>
      </c>
      <c r="G36" s="6" cm="1">
        <f t="array" ref="G36">BachelieroptionValue(E$4,各パラメータごとの形状_Bachelier!$C$5,各パラメータごとの形状_Bachelier!$C$6,$C$7,各パラメータごとの形状_Bachelier!$C36,$C$3)</f>
        <v>5.5078929130925967E-9</v>
      </c>
      <c r="K36">
        <f t="shared" si="2"/>
        <v>5</v>
      </c>
      <c r="L36">
        <f t="shared" si="1"/>
        <v>5</v>
      </c>
      <c r="M36" s="6" cm="1">
        <f t="array" ref="M36">BachelieroptionValue(C$4,各パラメータごとの形状_Bachelier!$C$5,各パラメータごとの形状_Bachelier!$C$6,$C$7,各パラメータごとの形状_Bachelier!$K36,$C$3)</f>
        <v>1.8245266940891944</v>
      </c>
      <c r="N36" s="6" cm="1">
        <f t="array" ref="N36">BachelieroptionValue(D$4,各パラメータごとの形状_Bachelier!$C$5,各パラメータごとの形状_Bachelier!$C$6,$C$7,各パラメータごとの形状_Bachelier!$K36,$C$3)</f>
        <v>0.40358556467884049</v>
      </c>
      <c r="O36" s="6" cm="1">
        <f t="array" ref="O36">BachelieroptionValue(E$4,各パラメータごとの形状_Bachelier!$C$5,各パラメータごとの形状_Bachelier!$C$6,$C$7,各パラメータごとの形状_Bachelier!$K36,$C$3)</f>
        <v>1.485185801727552E-2</v>
      </c>
    </row>
    <row r="37" spans="2:15" x14ac:dyDescent="0.4">
      <c r="C37">
        <f t="shared" si="3"/>
        <v>0.49999999999999983</v>
      </c>
      <c r="D37">
        <f t="shared" si="0"/>
        <v>0.50000000000000022</v>
      </c>
      <c r="E37" s="6" cm="1">
        <f t="array" ref="E37">BachelieroptionValue(C$4,各パラメータごとの形状_Bachelier!$C$5,各パラメータごとの形状_Bachelier!$C$6,$C$7,各パラメータごとの形状_Bachelier!$C37,$C$3)</f>
        <v>1.980099667949339</v>
      </c>
      <c r="F37" s="6" cm="1">
        <f t="array" ref="F37">BachelieroptionValue(D$4,各パラメータごとの形状_Bachelier!$C$5,各パラメータごとの形状_Bachelier!$C$6,$C$7,各パラメータごとの形状_Bachelier!$C37,$C$3)</f>
        <v>0.13964395084861711</v>
      </c>
      <c r="G37" s="6" cm="1">
        <f t="array" ref="G37">BachelieroptionValue(E$4,各パラメータごとの形状_Bachelier!$C$5,各パラメータごとの形状_Bachelier!$C$6,$C$7,各パラメータごとの形状_Bachelier!$C37,$C$3)</f>
        <v>4.5100278619653763E-10</v>
      </c>
      <c r="K37">
        <f t="shared" si="2"/>
        <v>4</v>
      </c>
      <c r="L37">
        <f t="shared" si="1"/>
        <v>6</v>
      </c>
      <c r="M37" s="6" cm="1">
        <f t="array" ref="M37">BachelieroptionValue(C$4,各パラメータごとの形状_Bachelier!$C$5,各パラメータごとの形状_Bachelier!$C$6,$C$7,各パラメータごとの形状_Bachelier!$K37,$C$3)</f>
        <v>1.8540705991511748</v>
      </c>
      <c r="N37" s="6" cm="1">
        <f t="array" ref="N37">BachelieroptionValue(D$4,各パラメータごとの形状_Bachelier!$C$5,各パラメータごとの形状_Bachelier!$C$6,$C$7,各パラメータごとの形状_Bachelier!$K37,$C$3)</f>
        <v>0.36827014030332333</v>
      </c>
      <c r="O37" s="6" cm="1">
        <f t="array" ref="O37">BachelieroptionValue(E$4,各パラメータごとの形状_Bachelier!$C$5,各パラメータごとの形状_Bachelier!$C$6,$C$7,各パラメータごとの形状_Bachelier!$K37,$C$3)</f>
        <v>7.8379063779032612E-3</v>
      </c>
    </row>
    <row r="38" spans="2:15" x14ac:dyDescent="0.4">
      <c r="C38">
        <f t="shared" si="3"/>
        <v>0.41666666666666652</v>
      </c>
      <c r="D38">
        <f t="shared" si="0"/>
        <v>0.58333333333333348</v>
      </c>
      <c r="E38" s="6" cm="1">
        <f t="array" ref="E38">BachelieroptionValue(C$4,各パラメータごとの形状_Bachelier!$C$5,各パラメータごとの形状_Bachelier!$C$6,$C$7,各パラメータごとの形状_Bachelier!$C38,$C$3)</f>
        <v>1.9834025852919459</v>
      </c>
      <c r="F38" s="6" cm="1">
        <f t="array" ref="F38">BachelieroptionValue(D$4,各パラメータごとの形状_Bachelier!$C$5,各パラメータごとの形状_Bachelier!$C$6,$C$7,各パラメータごとの形状_Bachelier!$C38,$C$3)</f>
        <v>0.12768954181981579</v>
      </c>
      <c r="G38" s="6" cm="1">
        <f t="array" ref="G38">BachelieroptionValue(E$4,各パラメータごとの形状_Bachelier!$C$5,各パラメータごとの形状_Bachelier!$C$6,$C$7,各パラメータごとの形状_Bachelier!$C38,$C$3)</f>
        <v>1.4193916535476244E-11</v>
      </c>
      <c r="K38">
        <f t="shared" si="2"/>
        <v>3</v>
      </c>
      <c r="L38">
        <f t="shared" si="1"/>
        <v>7</v>
      </c>
      <c r="M38" s="6" cm="1">
        <f t="array" ref="M38">BachelieroptionValue(C$4,各パラメータごとの形状_Bachelier!$C$5,各パラメータごとの形状_Bachelier!$C$6,$C$7,各パラメータごとの形状_Bachelier!$K38,$C$3)</f>
        <v>1.8864342134970893</v>
      </c>
      <c r="N38" s="6" cm="1">
        <f t="array" ref="N38">BachelieroptionValue(D$4,各パラメータごとの形状_Bachelier!$C$5,各パラメータごとの形状_Bachelier!$C$6,$C$7,各パラメータごとの形状_Bachelier!$K38,$C$3)</f>
        <v>0.32537413653295899</v>
      </c>
      <c r="O38" s="6" cm="1">
        <f t="array" ref="O38">BachelieroptionValue(E$4,各パラメータごとの形状_Bachelier!$C$5,各パラメータごとの形状_Bachelier!$C$6,$C$7,各パラメータごとの形状_Bachelier!$K38,$C$3)</f>
        <v>2.9051463285917653E-3</v>
      </c>
    </row>
    <row r="39" spans="2:15" x14ac:dyDescent="0.4">
      <c r="C39">
        <f t="shared" si="3"/>
        <v>0.3333333333333332</v>
      </c>
      <c r="D39">
        <f t="shared" si="0"/>
        <v>0.66666666666666674</v>
      </c>
      <c r="E39" s="6" cm="1">
        <f t="array" ref="E39">BachelieroptionValue(C$4,各パラメータごとの形状_Bachelier!$C$5,各パラメータごとの形状_Bachelier!$C$6,$C$7,各パラメータごとの形状_Bachelier!$C39,$C$3)</f>
        <v>1.9867110125101537</v>
      </c>
      <c r="F39" s="6" cm="1">
        <f t="array" ref="F39">BachelieroptionValue(D$4,各パラメータごとの形状_Bachelier!$C$5,各パラメータごとの形状_Bachelier!$C$6,$C$7,各パラメータごとの形状_Bachelier!$C39,$C$3)</f>
        <v>0.11439950525208364</v>
      </c>
      <c r="G39" s="6" cm="1">
        <f t="array" ref="G39">BachelieroptionValue(E$4,各パラメータごとの形状_Bachelier!$C$5,各パラメータごとの形状_Bachelier!$C$6,$C$7,各パラメータごとの形状_Bachelier!$C39,$C$3)</f>
        <v>8.4863748823878237E-14</v>
      </c>
      <c r="K39">
        <f t="shared" si="2"/>
        <v>2</v>
      </c>
      <c r="L39">
        <f t="shared" si="1"/>
        <v>8</v>
      </c>
      <c r="M39" s="6" cm="1">
        <f t="array" ref="M39">BachelieroptionValue(C$4,各パラメータごとの形状_Bachelier!$C$5,各パラメータごとの形状_Bachelier!$C$6,$C$7,各パラメータごとの形状_Bachelier!$K39,$C$3)</f>
        <v>1.9220487152525347</v>
      </c>
      <c r="N39" s="6" cm="1">
        <f t="array" ref="N39">BachelieroptionValue(D$4,各パラメータごとの形状_Bachelier!$C$5,各パラメータごとの形状_Bachelier!$C$6,$C$7,各パラメータごとの形状_Bachelier!$K39,$C$3)</f>
        <v>0.2710336967762158</v>
      </c>
      <c r="O39" s="6" cm="1">
        <f t="array" ref="O39">BachelieroptionValue(E$4,各パラメータごとの形状_Bachelier!$C$5,各パラメータごとの形状_Bachelier!$C$6,$C$7,各パラメータごとの形状_Bachelier!$K39,$C$3)</f>
        <v>4.6983694788824609E-4</v>
      </c>
    </row>
    <row r="40" spans="2:15" x14ac:dyDescent="0.4">
      <c r="C40">
        <f t="shared" si="3"/>
        <v>0.24999999999999989</v>
      </c>
      <c r="D40">
        <f t="shared" si="0"/>
        <v>0.75000000000000011</v>
      </c>
      <c r="E40" s="6" cm="1">
        <f t="array" ref="E40">BachelieroptionValue(C$4,各パラメータごとの形状_Bachelier!$C$5,各パラメータごとの形状_Bachelier!$C$6,$C$7,各パラメータごとの形状_Bachelier!$C40,$C$3)</f>
        <v>1.9900249583853646</v>
      </c>
      <c r="F40" s="6" cm="1">
        <f t="array" ref="F40">BachelieroptionValue(D$4,各パラメータごとの形状_Bachelier!$C$5,各パラメータごとの形状_Bachelier!$C$6,$C$7,各パラメータごとの形状_Bachelier!$C40,$C$3)</f>
        <v>9.9238136869252924E-2</v>
      </c>
      <c r="G40" s="6" cm="1">
        <f t="array" ref="G40">BachelieroptionValue(E$4,各パラメータごとの形状_Bachelier!$C$5,各パラメータごとの形状_Bachelier!$C$6,$C$7,各パラメータごとの形状_Bachelier!$C40,$C$3)</f>
        <v>1.8781513302665006E-17</v>
      </c>
      <c r="K40">
        <f t="shared" si="2"/>
        <v>1</v>
      </c>
      <c r="L40">
        <f t="shared" si="1"/>
        <v>9</v>
      </c>
      <c r="M40" s="6" cm="1">
        <f t="array" ref="M40">BachelieroptionValue(C$4,各パラメータごとの形状_Bachelier!$C$5,各パラメータごとの形状_Bachelier!$C$6,$C$7,各パラメータごとの形状_Bachelier!$K40,$C$3)</f>
        <v>1.9604008484999285</v>
      </c>
      <c r="N40" s="6" cm="1">
        <f t="array" ref="N40">BachelieroptionValue(D$4,各パラメータごとの形状_Bachelier!$C$5,各パラメータごとの形状_Bachelier!$C$6,$C$7,各パラメータごとの形状_Bachelier!$K40,$C$3)</f>
        <v>0.19552134698772794</v>
      </c>
      <c r="O40" s="6" cm="1">
        <f t="array" ref="O40">BachelieroptionValue(E$4,各パラメータごとの形状_Bachelier!$C$5,各パラメータごとの形状_Bachelier!$C$6,$C$7,各パラメータごとの形状_Bachelier!$K40,$C$3)</f>
        <v>3.5018864179391046E-6</v>
      </c>
    </row>
    <row r="41" spans="2:15" x14ac:dyDescent="0.4">
      <c r="C41">
        <f t="shared" si="3"/>
        <v>0.16666666666666657</v>
      </c>
      <c r="D41">
        <f t="shared" si="0"/>
        <v>0.83333333333333348</v>
      </c>
      <c r="E41" s="6" cm="1">
        <f t="array" ref="E41">BachelieroptionValue(C$4,各パラメータごとの形状_Bachelier!$C$5,各パラメータごとの形状_Bachelier!$C$6,$C$7,各パラメータごとの形状_Bachelier!$C41,$C$3)</f>
        <v>1.9933444321090465</v>
      </c>
      <c r="F41" s="6" cm="1">
        <f t="array" ref="F41">BachelieroptionValue(D$4,各パラメータごとの形状_Bachelier!$C$5,各パラメータごとの形状_Bachelier!$C$6,$C$7,各パラメータごとの形状_Bachelier!$C41,$C$3)</f>
        <v>8.1162758051348274E-2</v>
      </c>
      <c r="G41" s="6" cm="1">
        <f t="array" ref="G41">BachelieroptionValue(E$4,各パラメータごとの形状_Bachelier!$C$5,各パラメータごとの形状_Bachelier!$C$6,$C$7,各パラメータごとの形状_Bachelier!$C41,$C$3)</f>
        <v>1.1690754885663348E-24</v>
      </c>
      <c r="K41">
        <f t="shared" si="2"/>
        <v>0</v>
      </c>
      <c r="L41">
        <f t="shared" si="1"/>
        <v>10</v>
      </c>
      <c r="M41" s="6" cm="1">
        <f t="array" ref="M41">BachelieroptionValue(C$4,各パラメータごとの形状_Bachelier!$C$5,各パラメータごとの形状_Bachelier!$C$6,$C$7,各パラメータごとの形状_Bachelier!$K41,$C$3)</f>
        <v>2</v>
      </c>
      <c r="N41" s="6" cm="1">
        <f t="array" ref="N41">BachelieroptionValue(D$4,各パラメータごとの形状_Bachelier!$C$5,各パラメータごとの形状_Bachelier!$C$6,$C$7,各パラメータごとの形状_Bachelier!$K41,$C$3)</f>
        <v>0</v>
      </c>
      <c r="O41" s="6" cm="1">
        <f t="array" ref="O41">BachelieroptionValue(E$4,各パラメータごとの形状_Bachelier!$C$5,各パラメータごとの形状_Bachelier!$C$6,$C$7,各パラメータごとの形状_Bachelier!$K41,$C$3)</f>
        <v>0</v>
      </c>
    </row>
    <row r="42" spans="2:15" x14ac:dyDescent="0.4">
      <c r="C42">
        <f t="shared" si="3"/>
        <v>8.3333333333333245E-2</v>
      </c>
      <c r="D42">
        <f t="shared" si="0"/>
        <v>0.91666666666666674</v>
      </c>
      <c r="E42" s="6" cm="1">
        <f t="array" ref="E42">BachelieroptionValue(C$4,各パラメータごとの形状_Bachelier!$C$5,各パラメータごとの形状_Bachelier!$C$6,$C$7,各パラメータごとの形状_Bachelier!$C42,$C$3)</f>
        <v>1.9966694429018774</v>
      </c>
      <c r="F42" s="6" cm="1">
        <f t="array" ref="F42">BachelieroptionValue(D$4,各パラメータごとの形状_Bachelier!$C$5,各パラメータごとの形状_Bachelier!$C$6,$C$7,各パラメータごとの形状_Bachelier!$C42,$C$3)</f>
        <v>5.7486467579232425E-2</v>
      </c>
      <c r="G42" s="6" cm="1">
        <f t="array" ref="G42">BachelieroptionValue(E$4,各パラメータごとの形状_Bachelier!$C$5,各パラメータごとの形状_Bachelier!$C$6,$C$7,各パラメータごとの形状_Bachelier!$C42,$C$3)</f>
        <v>5.9886362897079218E-46</v>
      </c>
      <c r="M42" s="6"/>
      <c r="N42" s="6"/>
      <c r="O42" s="6"/>
    </row>
    <row r="43" spans="2:15" x14ac:dyDescent="0.4">
      <c r="C43">
        <f>+C42-1/12</f>
        <v>0</v>
      </c>
      <c r="D43">
        <f t="shared" si="0"/>
        <v>1</v>
      </c>
      <c r="E43" s="6" cm="1">
        <f t="array" ref="E43">BachelieroptionValue(C$4,各パラメータごとの形状_Bachelier!$C$5,各パラメータごとの形状_Bachelier!$C$6,$C$7,各パラメータごとの形状_Bachelier!$C43,$C$3)</f>
        <v>2</v>
      </c>
      <c r="F43" s="6" cm="1">
        <f t="array" ref="F43">BachelieroptionValue(D$4,各パラメータごとの形状_Bachelier!$C$5,各パラメータごとの形状_Bachelier!$C$6,$C$7,各パラメータごとの形状_Bachelier!$C43,$C$3)</f>
        <v>0</v>
      </c>
      <c r="G43" s="6" cm="1">
        <f t="array" ref="G43">BachelieroptionValue(E$4,各パラメータごとの形状_Bachelier!$C$5,各パラメータごとの形状_Bachelier!$C$6,$C$7,各パラメータごとの形状_Bachelier!$C43,$C$3)</f>
        <v>0</v>
      </c>
      <c r="M43" s="6"/>
      <c r="N43" s="6"/>
      <c r="O43" s="6"/>
    </row>
    <row r="45" spans="2:15" x14ac:dyDescent="0.4">
      <c r="B45" t="s">
        <v>17</v>
      </c>
      <c r="C45" t="s">
        <v>18</v>
      </c>
      <c r="D45" t="s">
        <v>61</v>
      </c>
      <c r="F45" t="s">
        <v>19</v>
      </c>
      <c r="G45" t="s">
        <v>20</v>
      </c>
      <c r="H45" t="s">
        <v>27</v>
      </c>
    </row>
    <row r="46" spans="2:15" x14ac:dyDescent="0.4">
      <c r="C46">
        <v>2</v>
      </c>
      <c r="D46" s="6" cm="1">
        <f t="array" ref="D46">BachelieroptionValue($C$4,各パラメータごとの形状_Bachelier!$C46,各パラメータごとの形状_Bachelier!$C$6,$C$7,各パラメータごとの形状_Bachelier!$C$8,$C$3)</f>
        <v>0.19552134698772794</v>
      </c>
      <c r="E46" s="6"/>
      <c r="G46">
        <v>2</v>
      </c>
      <c r="H46" s="6" cm="1">
        <f t="array" ref="H46">BachelieroptionValue($G46,各パラメータごとの形状_Bachelier!$C$5,各パラメータごとの形状_Bachelier!$C$6,$C$7,各パラメータごとの形状_Bachelier!$C$8,$C$3)</f>
        <v>1.9604008484999285</v>
      </c>
    </row>
    <row r="47" spans="2:15" x14ac:dyDescent="0.4">
      <c r="C47">
        <v>1.8</v>
      </c>
      <c r="D47" s="6" cm="1">
        <f t="array" ref="D47">BachelieroptionValue($C$4,各パラメータごとの形状_Bachelier!$C47,各パラメータごとの形状_Bachelier!$C$6,$C$7,各パラメータごとの形状_Bachelier!$C$8,$C$3)</f>
        <v>0.30897765578847364</v>
      </c>
      <c r="E47" s="6"/>
      <c r="G47">
        <v>1.8</v>
      </c>
      <c r="H47" s="6" cm="1">
        <f t="array" ref="H47">BachelieroptionValue($G47,各パラメータごとの形状_Bachelier!$C$5,各パラメータごとの形状_Bachelier!$C$6,$C$7,各パラメータごとの形状_Bachelier!$C$8,$C$3)</f>
        <v>1.7643767802300336</v>
      </c>
    </row>
    <row r="48" spans="2:15" x14ac:dyDescent="0.4">
      <c r="C48">
        <v>1.6</v>
      </c>
      <c r="D48" s="6" cm="1">
        <f t="array" ref="D48">BachelieroptionValue($C$4,各パラメータごとの形状_Bachelier!$C48,各パラメータごとの形状_Bachelier!$C$6,$C$7,各パラメータごとの形状_Bachelier!$C$8,$C$3)</f>
        <v>0.45099295491546398</v>
      </c>
      <c r="E48" s="6"/>
      <c r="G48">
        <v>1.6</v>
      </c>
      <c r="H48" s="6" cm="1">
        <f t="array" ref="H48">BachelieroptionValue($G48,各パラメータごとの形状_Bachelier!$C$5,各パラメータごとの形状_Bachelier!$C$6,$C$7,各パラメータごとの形状_Bachelier!$C$8,$C$3)</f>
        <v>1.5684086666246713</v>
      </c>
    </row>
    <row r="49" spans="3:8" x14ac:dyDescent="0.4">
      <c r="C49">
        <v>1.4</v>
      </c>
      <c r="D49" s="6" cm="1">
        <f t="array" ref="D49">BachelieroptionValue($C$4,各パラメータごとの形状_Bachelier!$C49,各パラメータごとの形状_Bachelier!$C$6,$C$7,各パラメータごとの形状_Bachelier!$C$8,$C$3)</f>
        <v>0.61561497786516362</v>
      </c>
      <c r="E49" s="6"/>
      <c r="G49">
        <v>1.4</v>
      </c>
      <c r="H49" s="6" cm="1">
        <f t="array" ref="H49">BachelieroptionValue($G49,各パラメータごとの形状_Bachelier!$C$5,各パラメータごとの形状_Bachelier!$C$6,$C$7,各パラメータごとの形状_Bachelier!$C$8,$C$3)</f>
        <v>1.3726511506955719</v>
      </c>
    </row>
    <row r="50" spans="3:8" x14ac:dyDescent="0.4">
      <c r="C50">
        <v>1.2</v>
      </c>
      <c r="D50" s="6" cm="1">
        <f t="array" ref="D50">BachelieroptionValue($C$4,各パラメータごとの形状_Bachelier!$C50,各パラメータごとの形状_Bachelier!$C$6,$C$7,各パラメータごとの形状_Bachelier!$C$8,$C$3)</f>
        <v>0.79554981172519912</v>
      </c>
      <c r="E50" s="6"/>
      <c r="G50">
        <v>1.2</v>
      </c>
      <c r="H50" s="6" cm="1">
        <f t="array" ref="H50">BachelieroptionValue($G50,各パラメータごとの形状_Bachelier!$C$5,各パラメータごとの形状_Bachelier!$C$6,$C$7,各パラメータごとの形状_Bachelier!$C$8,$C$3)</f>
        <v>1.1775716958050644</v>
      </c>
    </row>
    <row r="51" spans="3:8" x14ac:dyDescent="0.4">
      <c r="C51">
        <v>1</v>
      </c>
      <c r="D51" s="6" cm="1">
        <f t="array" ref="D51">BachelieroptionValue($C$4,各パラメータごとの形状_Bachelier!$C51,各パラメータごとの形状_Bachelier!$C$6,$C$7,各パラメータごとの形状_Bachelier!$C$8,$C$3)</f>
        <v>0.98435996102698453</v>
      </c>
      <c r="E51" s="6"/>
      <c r="G51">
        <v>1</v>
      </c>
      <c r="H51" s="6" cm="1">
        <f t="array" ref="H51">BachelieroptionValue($G51,各パラメータごとの形状_Bachelier!$C$5,各パラメータごとの形状_Bachelier!$C$6,$C$7,各パラメータごとの形状_Bachelier!$C$8,$C$3)</f>
        <v>0.98435996102698453</v>
      </c>
    </row>
    <row r="52" spans="3:8" x14ac:dyDescent="0.4">
      <c r="C52">
        <v>0.8</v>
      </c>
      <c r="D52" s="6" cm="1">
        <f t="array" ref="D52">BachelieroptionValue($C$4,各パラメータごとの形状_Bachelier!$C52,各パラメータごとの形状_Bachelier!$C$6,$C$7,各パラメータごとの形状_Bachelier!$C$8,$C$3)</f>
        <v>1.1775716958050644</v>
      </c>
      <c r="E52" s="6"/>
      <c r="G52">
        <v>0.8</v>
      </c>
      <c r="H52" s="6" cm="1">
        <f t="array" ref="H52">BachelieroptionValue($G52,各パラメータごとの形状_Bachelier!$C$5,各パラメータごとの形状_Bachelier!$C$6,$C$7,各パラメータごとの形状_Bachelier!$C$8,$C$3)</f>
        <v>0.79554981172519912</v>
      </c>
    </row>
    <row r="53" spans="3:8" x14ac:dyDescent="0.4">
      <c r="C53">
        <v>0.6</v>
      </c>
      <c r="D53" s="6" cm="1">
        <f t="array" ref="D53">BachelieroptionValue($C$4,各パラメータごとの形状_Bachelier!$C53,各パラメータごとの形状_Bachelier!$C$6,$C$7,各パラメータごとの形状_Bachelier!$C$8,$C$3)</f>
        <v>1.3726511506955719</v>
      </c>
      <c r="E53" s="6"/>
      <c r="G53">
        <v>0.6</v>
      </c>
      <c r="H53" s="6" cm="1">
        <f t="array" ref="H53">BachelieroptionValue($G53,各パラメータごとの形状_Bachelier!$C$5,各パラメータごとの形状_Bachelier!$C$6,$C$7,各パラメータごとの形状_Bachelier!$C$8,$C$3)</f>
        <v>0.61561497786516362</v>
      </c>
    </row>
    <row r="54" spans="3:8" x14ac:dyDescent="0.4">
      <c r="C54">
        <v>0.4</v>
      </c>
      <c r="D54" s="6" cm="1">
        <f t="array" ref="D54">BachelieroptionValue($C$4,各パラメータごとの形状_Bachelier!$C54,各パラメータごとの形状_Bachelier!$C$6,$C$7,各パラメータごとの形状_Bachelier!$C$8,$C$3)</f>
        <v>1.5684086666246713</v>
      </c>
      <c r="E54" s="6"/>
      <c r="G54">
        <v>0.4</v>
      </c>
      <c r="H54" s="6" cm="1">
        <f t="array" ref="H54">BachelieroptionValue($G54,各パラメータごとの形状_Bachelier!$C$5,各パラメータごとの形状_Bachelier!$C$6,$C$7,各パラメータごとの形状_Bachelier!$C$8,$C$3)</f>
        <v>0.45099295491546404</v>
      </c>
    </row>
    <row r="55" spans="3:8" x14ac:dyDescent="0.4">
      <c r="C55">
        <v>0.2</v>
      </c>
      <c r="D55" s="6" cm="1">
        <f t="array" ref="D55">BachelieroptionValue($C$4,各パラメータごとの形状_Bachelier!$C55,各パラメータごとの形状_Bachelier!$C$6,$C$7,各パラメータごとの形状_Bachelier!$C$8,$C$3)</f>
        <v>1.7643767802300336</v>
      </c>
      <c r="E55" s="6"/>
      <c r="G55">
        <v>0.2</v>
      </c>
      <c r="H55" s="6" cm="1">
        <f t="array" ref="H55">BachelieroptionValue($G55,各パラメータごとの形状_Bachelier!$C$5,各パラメータごとの形状_Bachelier!$C$6,$C$7,各パラメータごとの形状_Bachelier!$C$8,$C$3)</f>
        <v>0.30897765578847364</v>
      </c>
    </row>
    <row r="56" spans="3:8" x14ac:dyDescent="0.4">
      <c r="C56">
        <v>0</v>
      </c>
      <c r="D56" s="6" cm="1">
        <f t="array" ref="D56">BachelieroptionValue($C$4,各パラメータごとの形状_Bachelier!$C56,各パラメータごとの形状_Bachelier!$C$6,$C$7,各パラメータごとの形状_Bachelier!$C$8,$C$3)</f>
        <v>1.9604008484999285</v>
      </c>
      <c r="E56" s="6"/>
      <c r="G56">
        <v>0</v>
      </c>
      <c r="H56" s="6" cm="1">
        <f t="array" ref="H56">BachelieroptionValue($G56,各パラメータごとの形状_Bachelier!$C$5,各パラメータごとの形状_Bachelier!$C$6,$C$7,各パラメータごとの形状_Bachelier!$C$8,$C$3)</f>
        <v>0.19552134698772794</v>
      </c>
    </row>
    <row r="57" spans="3:8" x14ac:dyDescent="0.4">
      <c r="C57">
        <v>-0.2</v>
      </c>
      <c r="D57" s="6" cm="1">
        <f t="array" ref="D57">BachelieroptionValue($C$4,各パラメータごとの形状_Bachelier!$C57,各パラメータごとの形状_Bachelier!$C$6,$C$7,各パラメータごとの形状_Bachelier!$C$8,$C$3)</f>
        <v>2.1564376337531086</v>
      </c>
      <c r="E57" s="6"/>
      <c r="G57">
        <v>-0.2</v>
      </c>
      <c r="H57" s="6" cm="1">
        <f t="array" ref="H57">BachelieroptionValue($G57,各パラメータごとの形状_Bachelier!$C$5,各パラメータごとの形状_Bachelier!$C$6,$C$7,各パラメータごとの形状_Bachelier!$C$8,$C$3)</f>
        <v>0.11293792112712257</v>
      </c>
    </row>
    <row r="58" spans="3:8" x14ac:dyDescent="0.4">
      <c r="C58">
        <v>-0.4</v>
      </c>
      <c r="D58" s="6" cm="1">
        <f t="array" ref="D58">BachelieroptionValue($C$4,各パラメータごとの形状_Bachelier!$C58,各パラメータごとの形状_Bachelier!$C$6,$C$7,各パラメータごとの形状_Bachelier!$C$8,$C$3)</f>
        <v>2.3524768910801845</v>
      </c>
      <c r="E58" s="6"/>
      <c r="G58">
        <v>-0.4</v>
      </c>
      <c r="H58" s="6" cm="1">
        <f t="array" ref="H58">BachelieroptionValue($G58,各パラメータごとの形状_Bachelier!$C$5,各パラメータごとの形状_Bachelier!$C$6,$C$7,各パラメータごとの形状_Bachelier!$C$8,$C$3)</f>
        <v>5.8913485592761952E-2</v>
      </c>
    </row>
    <row r="59" spans="3:8" x14ac:dyDescent="0.4">
      <c r="C59">
        <v>-0.6</v>
      </c>
      <c r="D59" s="6" cm="1">
        <f t="array" ref="D59">BachelieroptionValue($C$4,各パラメータごとの形状_Bachelier!$C59,各パラメータごとの形状_Bachelier!$C$6,$C$7,各パラメータごとの形状_Bachelier!$C$8,$C$3)</f>
        <v>2.5485165593964965</v>
      </c>
      <c r="E59" s="6"/>
      <c r="G59">
        <v>-0.6</v>
      </c>
      <c r="H59" s="6" cm="1">
        <f t="array" ref="H59">BachelieroptionValue($G59,各パラメータごとの形状_Bachelier!$C$5,各パラメータごとの形状_Bachelier!$C$6,$C$7,各パラメータごとの形状_Bachelier!$C$8,$C$3)</f>
        <v>2.7495773881110408E-2</v>
      </c>
    </row>
    <row r="60" spans="3:8" x14ac:dyDescent="0.4">
      <c r="C60">
        <v>-0.8</v>
      </c>
      <c r="D60" s="6" cm="1">
        <f t="array" ref="D60">BachelieroptionValue($C$4,各パラメータごとの形状_Bachelier!$C60,各パラメータごとの形状_Bachelier!$C$6,$C$7,各パラメータごとの形状_Bachelier!$C$8,$C$3)</f>
        <v>2.7445562861448671</v>
      </c>
      <c r="E60" s="6"/>
      <c r="G60">
        <v>-0.8</v>
      </c>
      <c r="H60" s="6" cm="1">
        <f t="array" ref="H60">BachelieroptionValue($G60,各パラメータごとの形状_Bachelier!$C$5,各パラメータごとの形状_Bachelier!$C$6,$C$7,各パラメータごとの形状_Bachelier!$C$8,$C$3)</f>
        <v>1.139087307979484E-2</v>
      </c>
    </row>
    <row r="61" spans="3:8" x14ac:dyDescent="0.4">
      <c r="C61">
        <v>-1</v>
      </c>
      <c r="D61" s="6" cm="1">
        <f t="array" ref="D61">BachelieroptionValue($C$4,各パラメータごとの形状_Bachelier!$C61,各パラメータごとの形状_Bachelier!$C$6,$C$7,各パラメータごとの形状_Bachelier!$C$8,$C$3)</f>
        <v>2.9405960199968959</v>
      </c>
      <c r="E61" s="6"/>
      <c r="G61">
        <v>-1</v>
      </c>
      <c r="H61" s="6" cm="1">
        <f t="array" ref="H61">BachelieroptionValue($G61,各パラメータごとの形状_Bachelier!$C$5,各パラメータごとの形状_Bachelier!$C$6,$C$7,各パラメータごとの形状_Bachelier!$C$8,$C$3)</f>
        <v>4.1612877202293237E-3</v>
      </c>
    </row>
    <row r="62" spans="3:8" x14ac:dyDescent="0.4">
      <c r="C62">
        <v>-1.2</v>
      </c>
      <c r="D62" s="6" cm="1">
        <f t="array" ref="D62">BachelieroptionValue($C$4,各パラメータごとの形状_Bachelier!$C62,各パラメータごとの形状_Bachelier!$C$6,$C$7,各パラメータごとの形状_Bachelier!$C$8,$C$3)</f>
        <v>3.1366357545873056</v>
      </c>
      <c r="G62">
        <v>-1.2</v>
      </c>
      <c r="H62" s="6" cm="1">
        <f t="array" ref="H62">BachelieroptionValue($G62,各パラメータごとの形状_Bachelier!$C$5,各パラメータごとの形状_Bachelier!$C$6,$C$7,各パラメータごとの形状_Bachelier!$C$8,$C$3)</f>
        <v>1.333287836958163E-3</v>
      </c>
    </row>
    <row r="63" spans="3:8" x14ac:dyDescent="0.4">
      <c r="C63">
        <v>-1.4</v>
      </c>
      <c r="D63" s="6" cm="1">
        <f t="array" ref="D63">BachelieroptionValue($C$4,各パラメータごとの形状_Bachelier!$C63,各パラメータごとの形状_Bachelier!$C$6,$C$7,各パラメータごとの形状_Bachelier!$C$8,$C$3)</f>
        <v>3.3326754892433299</v>
      </c>
      <c r="G63">
        <v>-1.4</v>
      </c>
      <c r="H63" s="6" cm="1">
        <f t="array" ref="H63">BachelieroptionValue($G63,各パラメータごとの形状_Bachelier!$C$5,各パラメータごとの形状_Bachelier!$C$6,$C$7,各パラメータごとの形状_Bachelier!$C$8,$C$3)</f>
        <v>3.730080661145776E-4</v>
      </c>
    </row>
    <row r="64" spans="3:8" x14ac:dyDescent="0.4">
      <c r="C64">
        <v>-1.6</v>
      </c>
      <c r="D64" s="6" cm="1">
        <f t="array" ref="D64">BachelieroptionValue($C$4,各パラメータごとの形状_Bachelier!$C64,各パラメータごとの形状_Bachelier!$C$6,$C$7,各パラメータごとの形状_Bachelier!$C$8,$C$3)</f>
        <v>3.5287152239043387</v>
      </c>
      <c r="G64">
        <v>-1.6</v>
      </c>
      <c r="H64" s="6" cm="1">
        <f t="array" ref="H64">BachelieroptionValue($G64,各パラメータごとの形状_Bachelier!$C$5,各パラメータごとの形状_Bachelier!$C$6,$C$7,各パラメータごとの形状_Bachelier!$C$8,$C$3)</f>
        <v>9.0789333862897575E-5</v>
      </c>
    </row>
    <row r="65" spans="3:8" x14ac:dyDescent="0.4">
      <c r="C65">
        <v>-1.8</v>
      </c>
      <c r="D65" s="6" cm="1">
        <f t="array" ref="D65">BachelieroptionValue($C$4,各パラメータごとの形状_Bachelier!$C65,各パラメータごとの形状_Bachelier!$C$6,$C$7,各パラメータごとの形状_Bachelier!$C$8,$C$3)</f>
        <v>3.7247549585656712</v>
      </c>
      <c r="G65">
        <v>-1.8</v>
      </c>
      <c r="H65" s="6" cm="1">
        <f t="array" ref="H65">BachelieroptionValue($G65,各パラメータごとの形状_Bachelier!$C$5,各パラメータごとの形状_Bachelier!$C$6,$C$7,各パラメータごとの形状_Bachelier!$C$8,$C$3)</f>
        <v>1.9168277874260128E-5</v>
      </c>
    </row>
    <row r="66" spans="3:8" x14ac:dyDescent="0.4">
      <c r="C66">
        <v>-2</v>
      </c>
      <c r="D66" s="6" cm="1">
        <f t="array" ref="D66">BachelieroptionValue($C$4,各パラメータごとの形状_Bachelier!$C66,各パラメータごとの形状_Bachelier!$C$6,$C$7,各パラメータごとの形状_Bachelier!$C$8,$C$3)</f>
        <v>3.920794693227021</v>
      </c>
      <c r="G66">
        <v>-2</v>
      </c>
      <c r="H66" s="6" cm="1">
        <f t="array" ref="H66">BachelieroptionValue($G66,各パラメータごとの形状_Bachelier!$C$5,各パラメータごとの形状_Bachelier!$C$6,$C$7,各パラメータごとの形状_Bachelier!$C$8,$C$3)</f>
        <v>3.5018864179391046E-6</v>
      </c>
    </row>
  </sheetData>
  <phoneticPr fontId="1"/>
  <dataValidations disablePrompts="1" count="1">
    <dataValidation type="list" allowBlank="1" showInputMessage="1" showErrorMessage="1" sqref="C3:E3" xr:uid="{C1131897-31B2-4BFC-BC56-A951ED634949}">
      <formula1>"Call, Put"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51</vt:i4>
      </vt:variant>
    </vt:vector>
  </HeadingPairs>
  <TitlesOfParts>
    <vt:vector size="60" baseType="lpstr">
      <vt:lpstr>BS model</vt:lpstr>
      <vt:lpstr>各パラメータごとの形状</vt:lpstr>
      <vt:lpstr>IV_Smile</vt:lpstr>
      <vt:lpstr>Greeks</vt:lpstr>
      <vt:lpstr>Black-76 model</vt:lpstr>
      <vt:lpstr>各パラメータごとの形状_B76</vt:lpstr>
      <vt:lpstr>Greeks_B76</vt:lpstr>
      <vt:lpstr>Bachelier model</vt:lpstr>
      <vt:lpstr>各パラメータごとの形状_Bachelier</vt:lpstr>
      <vt:lpstr>Greeks!a</vt:lpstr>
      <vt:lpstr>Greeks_B76!a</vt:lpstr>
      <vt:lpstr>Greeks!DeltaCall</vt:lpstr>
      <vt:lpstr>Greeks_B76!DeltaCall</vt:lpstr>
      <vt:lpstr>Greeks!DeltaPut</vt:lpstr>
      <vt:lpstr>Greeks_B76!DeltaPut</vt:lpstr>
      <vt:lpstr>IV_Smile!diff</vt:lpstr>
      <vt:lpstr>diff</vt:lpstr>
      <vt:lpstr>Greeks!Foward</vt:lpstr>
      <vt:lpstr>Foward</vt:lpstr>
      <vt:lpstr>Greeks!Gamma</vt:lpstr>
      <vt:lpstr>Greeks_B76!Gamma</vt:lpstr>
      <vt:lpstr>IV_Smile!MarketCallOptioin</vt:lpstr>
      <vt:lpstr>MarketCallOptioin</vt:lpstr>
      <vt:lpstr>MarketCallOption</vt:lpstr>
      <vt:lpstr>MarketPutOptioin</vt:lpstr>
      <vt:lpstr>MarketPutOption</vt:lpstr>
      <vt:lpstr>IV_Smile!rate</vt:lpstr>
      <vt:lpstr>rate</vt:lpstr>
      <vt:lpstr>Greeks!rate2</vt:lpstr>
      <vt:lpstr>Greeks_B76!rate2</vt:lpstr>
      <vt:lpstr>Greeks!RhoCall</vt:lpstr>
      <vt:lpstr>Greeks_B76!RhoCall</vt:lpstr>
      <vt:lpstr>Greeks!RhoPut</vt:lpstr>
      <vt:lpstr>Greeks_B76!RhoPut</vt:lpstr>
      <vt:lpstr>IV_Smile!sigma</vt:lpstr>
      <vt:lpstr>sigma</vt:lpstr>
      <vt:lpstr>Greeks!sigma2</vt:lpstr>
      <vt:lpstr>Greeks_B76!sigma2</vt:lpstr>
      <vt:lpstr>Greeks!Stock</vt:lpstr>
      <vt:lpstr>Greeks_B76!Stock</vt:lpstr>
      <vt:lpstr>IV_Smile!StockPrice</vt:lpstr>
      <vt:lpstr>StockPrice</vt:lpstr>
      <vt:lpstr>Greeks!Strike</vt:lpstr>
      <vt:lpstr>Greeks_B76!Strike</vt:lpstr>
      <vt:lpstr>IV_Smile!StrikePrice</vt:lpstr>
      <vt:lpstr>StrikePrice</vt:lpstr>
      <vt:lpstr>Greeks!strikerow</vt:lpstr>
      <vt:lpstr>Greeks_B76!strikerow</vt:lpstr>
      <vt:lpstr>IV_Smile!Style</vt:lpstr>
      <vt:lpstr>Style</vt:lpstr>
      <vt:lpstr>Greeks!ThetaCall</vt:lpstr>
      <vt:lpstr>Greeks_B76!ThetaCall</vt:lpstr>
      <vt:lpstr>Greeks!ThetaPut</vt:lpstr>
      <vt:lpstr>Greeks_B76!ThetaPut</vt:lpstr>
      <vt:lpstr>IV_Smile!TimeofExpiration</vt:lpstr>
      <vt:lpstr>TimeofExpiration</vt:lpstr>
      <vt:lpstr>Greeks!TimeofExpiration2</vt:lpstr>
      <vt:lpstr>Greeks_B76!TimeofExpiration2</vt:lpstr>
      <vt:lpstr>Greeks!Vega</vt:lpstr>
      <vt:lpstr>Greeks_B76!Vega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操樹 田端</dc:creator>
  <cp:lastModifiedBy>操樹 田端</cp:lastModifiedBy>
  <dcterms:created xsi:type="dcterms:W3CDTF">2024-11-14T13:28:01Z</dcterms:created>
  <dcterms:modified xsi:type="dcterms:W3CDTF">2025-07-26T12:39:46Z</dcterms:modified>
</cp:coreProperties>
</file>